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8d2acbed51b2ae57/Documents/Excel Projects/"/>
    </mc:Choice>
  </mc:AlternateContent>
  <xr:revisionPtr revIDLastSave="507" documentId="8_{ABC04089-7769-4E43-9915-B025B1F01043}" xr6:coauthVersionLast="47" xr6:coauthVersionMax="47" xr10:uidLastSave="{BFAF0F1F-7283-4397-AE4E-7DAA373AAEA7}"/>
  <bookViews>
    <workbookView xWindow="-108" yWindow="-108" windowWidth="23256" windowHeight="12456"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<sst xmlns="http://schemas.openxmlformats.org/spreadsheetml/2006/main" count="16267" uniqueCount="51">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</sst>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33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409]#,##0"/>
    </dxf>
    <dxf>
      <numFmt numFmtId="166" formatCode="[$$-409]#,##0.00"/>
    </dxf>
    <dxf>
      <numFmt numFmtId="166" formatCode="[$$-409]#,##0.00"/>
    </dxf>
    <dxf>
      <numFmt numFmtId="0" formatCode="General"/>
    </dxf>
    <dxf>
      <numFmt numFmtId="3" formatCode="#,##0"/>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 based on gender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Table'!$B$5:$B$7</c:f>
              <c:numCache>
                <c:formatCode>[$$-409]#\ ##0</c:formatCode>
                <c:ptCount val="2"/>
                <c:pt idx="0">
                  <c:v>53440</c:v>
                </c:pt>
                <c:pt idx="1">
                  <c:v>56208.178438661707</c:v>
                </c:pt>
              </c:numCache>
            </c:numRef>
          </c:val>
          <c:extLst>
            <c:ext xmlns:c16="http://schemas.microsoft.com/office/drawing/2014/chart" uri="{C3380CC4-5D6E-409C-BE32-E72D297353CC}">
              <c16:uniqueId val="{00000000-FBF0-403C-87F5-97D78A671F1F}"/>
            </c:ext>
          </c:extLst>
        </c:ser>
        <c:ser>
          <c:idx val="1"/>
          <c:order val="1"/>
          <c:tx>
            <c:strRef>
              <c:f>'Pivot Table'!$C$3:$C$4</c:f>
              <c:strCache>
                <c:ptCount val="1"/>
                <c:pt idx="0">
                  <c:v>Yes</c:v>
                </c:pt>
              </c:strCache>
            </c:strRef>
          </c:tx>
          <c:spPr>
            <a:solidFill>
              <a:schemeClr val="accent4"/>
            </a:solidFill>
            <a:ln>
              <a:noFill/>
            </a:ln>
            <a:effectLst/>
          </c:spPr>
          <c:invertIfNegative val="0"/>
          <c:cat>
            <c:strRef>
              <c:f>'Pivot Table'!$A$5:$A$7</c:f>
              <c:strCache>
                <c:ptCount val="2"/>
                <c:pt idx="0">
                  <c:v>Female</c:v>
                </c:pt>
                <c:pt idx="1">
                  <c:v>Male</c:v>
                </c:pt>
              </c:strCache>
            </c:strRef>
          </c:cat>
          <c:val>
            <c:numRef>
              <c:f>'Pivot Table'!$C$5:$C$7</c:f>
              <c:numCache>
                <c:formatCode>[$$-409]#\ ##0</c:formatCode>
                <c:ptCount val="2"/>
                <c:pt idx="0">
                  <c:v>55774.058577405856</c:v>
                </c:pt>
                <c:pt idx="1">
                  <c:v>60123.966942148763</c:v>
                </c:pt>
              </c:numCache>
            </c:numRef>
          </c:val>
          <c:extLst>
            <c:ext xmlns:c16="http://schemas.microsoft.com/office/drawing/2014/chart" uri="{C3380CC4-5D6E-409C-BE32-E72D297353CC}">
              <c16:uniqueId val="{00000001-FBF0-403C-87F5-97D78A671F1F}"/>
            </c:ext>
          </c:extLst>
        </c:ser>
        <c:dLbls>
          <c:showLegendKey val="0"/>
          <c:showVal val="0"/>
          <c:showCatName val="0"/>
          <c:showSerName val="0"/>
          <c:showPercent val="0"/>
          <c:showBubbleSize val="0"/>
        </c:dLbls>
        <c:gapWidth val="219"/>
        <c:overlap val="-27"/>
        <c:axId val="1348966720"/>
        <c:axId val="1348955200"/>
      </c:barChart>
      <c:catAx>
        <c:axId val="1348966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955200"/>
        <c:crosses val="autoZero"/>
        <c:auto val="1"/>
        <c:lblAlgn val="ctr"/>
        <c:lblOffset val="100"/>
        <c:noMultiLvlLbl val="0"/>
      </c:catAx>
      <c:valAx>
        <c:axId val="1348955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96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 Distance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Table'!$B$11:$B$12</c:f>
              <c:strCache>
                <c:ptCount val="1"/>
                <c:pt idx="0">
                  <c:v>No</c:v>
                </c:pt>
              </c:strCache>
            </c:strRef>
          </c:tx>
          <c:spPr>
            <a:solidFill>
              <a:schemeClr val="accent6"/>
            </a:solidFill>
            <a:ln>
              <a:noFill/>
            </a:ln>
            <a:effectLst/>
            <a:sp3d/>
          </c:spPr>
          <c:invertIfNegative val="0"/>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CDC4-4AA8-9A21-C277D1E940E0}"/>
            </c:ext>
          </c:extLst>
        </c:ser>
        <c:ser>
          <c:idx val="1"/>
          <c:order val="1"/>
          <c:tx>
            <c:strRef>
              <c:f>'Pivot Table'!$C$11:$C$12</c:f>
              <c:strCache>
                <c:ptCount val="1"/>
                <c:pt idx="0">
                  <c:v>Yes</c:v>
                </c:pt>
              </c:strCache>
            </c:strRef>
          </c:tx>
          <c:spPr>
            <a:solidFill>
              <a:schemeClr val="accent5"/>
            </a:solidFill>
            <a:ln>
              <a:noFill/>
            </a:ln>
            <a:effectLst/>
            <a:sp3d/>
          </c:spPr>
          <c:invertIfNegative val="0"/>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CDC4-4AA8-9A21-C277D1E940E0}"/>
            </c:ext>
          </c:extLst>
        </c:ser>
        <c:dLbls>
          <c:showLegendKey val="0"/>
          <c:showVal val="0"/>
          <c:showCatName val="0"/>
          <c:showSerName val="0"/>
          <c:showPercent val="0"/>
          <c:showBubbleSize val="0"/>
        </c:dLbls>
        <c:gapWidth val="150"/>
        <c:shape val="box"/>
        <c:axId val="1423028512"/>
        <c:axId val="1423028992"/>
        <c:axId val="0"/>
      </c:bar3DChart>
      <c:catAx>
        <c:axId val="142302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28992"/>
        <c:crosses val="autoZero"/>
        <c:auto val="1"/>
        <c:lblAlgn val="ctr"/>
        <c:lblOffset val="100"/>
        <c:noMultiLvlLbl val="0"/>
      </c:catAx>
      <c:valAx>
        <c:axId val="1423028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Bike</a:t>
                </a:r>
                <a:r>
                  <a:rPr lang="en-ZA" baseline="0"/>
                  <a:t> Purchases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02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Bike</a:t>
            </a:r>
            <a:r>
              <a:rPr lang="en-ZA" baseline="0"/>
              <a:t> Purchases based on age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Table'!$B$20:$B$21</c:f>
              <c:strCache>
                <c:ptCount val="1"/>
                <c:pt idx="0">
                  <c:v>No</c:v>
                </c:pt>
              </c:strCache>
            </c:strRef>
          </c:tx>
          <c:spPr>
            <a:solidFill>
              <a:schemeClr val="accent1"/>
            </a:solidFill>
            <a:ln>
              <a:noFill/>
            </a:ln>
            <a:effectLst/>
            <a:sp3d/>
          </c:spPr>
          <c:invertIfNegative val="0"/>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270</c:v>
                </c:pt>
                <c:pt idx="2">
                  <c:v>178</c:v>
                </c:pt>
              </c:numCache>
            </c:numRef>
          </c:val>
          <c:extLst>
            <c:ext xmlns:c16="http://schemas.microsoft.com/office/drawing/2014/chart" uri="{C3380CC4-5D6E-409C-BE32-E72D297353CC}">
              <c16:uniqueId val="{00000000-FC35-4BB8-B5AB-516B40DC0570}"/>
            </c:ext>
          </c:extLst>
        </c:ser>
        <c:ser>
          <c:idx val="1"/>
          <c:order val="1"/>
          <c:tx>
            <c:strRef>
              <c:f>'Pivot Table'!$C$20:$C$21</c:f>
              <c:strCache>
                <c:ptCount val="1"/>
                <c:pt idx="0">
                  <c:v>Yes</c:v>
                </c:pt>
              </c:strCache>
            </c:strRef>
          </c:tx>
          <c:spPr>
            <a:solidFill>
              <a:schemeClr val="accent2"/>
            </a:solidFill>
            <a:ln>
              <a:noFill/>
            </a:ln>
            <a:effectLst/>
            <a:sp3d/>
          </c:spPr>
          <c:invertIfNegative val="0"/>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320</c:v>
                </c:pt>
                <c:pt idx="2">
                  <c:v>122</c:v>
                </c:pt>
              </c:numCache>
            </c:numRef>
          </c:val>
          <c:extLst>
            <c:ext xmlns:c16="http://schemas.microsoft.com/office/drawing/2014/chart" uri="{C3380CC4-5D6E-409C-BE32-E72D297353CC}">
              <c16:uniqueId val="{00000001-FC35-4BB8-B5AB-516B40DC0570}"/>
            </c:ext>
          </c:extLst>
        </c:ser>
        <c:dLbls>
          <c:showLegendKey val="0"/>
          <c:showVal val="0"/>
          <c:showCatName val="0"/>
          <c:showSerName val="0"/>
          <c:showPercent val="0"/>
          <c:showBubbleSize val="0"/>
        </c:dLbls>
        <c:gapWidth val="150"/>
        <c:shape val="box"/>
        <c:axId val="1527130528"/>
        <c:axId val="1527138688"/>
        <c:axId val="0"/>
      </c:bar3DChart>
      <c:catAx>
        <c:axId val="152713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Group</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138688"/>
        <c:crosses val="autoZero"/>
        <c:auto val="1"/>
        <c:lblAlgn val="ctr"/>
        <c:lblOffset val="100"/>
        <c:noMultiLvlLbl val="0"/>
      </c:catAx>
      <c:valAx>
        <c:axId val="152713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Bike</a:t>
                </a:r>
                <a:r>
                  <a:rPr lang="en-ZA" baseline="0"/>
                  <a:t> Purchases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13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9369</xdr:colOff>
      <xdr:row>3</xdr:row>
      <xdr:rowOff>5871</xdr:rowOff>
    </xdr:from>
    <xdr:to>
      <xdr:col>7</xdr:col>
      <xdr:colOff>314169</xdr:colOff>
      <xdr:row>18</xdr:row>
      <xdr:rowOff>5871</xdr:rowOff>
    </xdr:to>
    <xdr:graphicFrame macro="">
      <xdr:nvGraphicFramePr>
        <xdr:cNvPr id="2" name="Chart 1">
          <a:extLst>
            <a:ext uri="{FF2B5EF4-FFF2-40B4-BE49-F238E27FC236}">
              <a16:creationId xmlns:a16="http://schemas.microsoft.com/office/drawing/2014/main" id="{8704D5F1-0049-4CA0-9838-4EC8BCF5F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19050</xdr:rowOff>
    </xdr:from>
    <xdr:to>
      <xdr:col>15</xdr:col>
      <xdr:colOff>5714</xdr:colOff>
      <xdr:row>33</xdr:row>
      <xdr:rowOff>127000</xdr:rowOff>
    </xdr:to>
    <xdr:graphicFrame macro="">
      <xdr:nvGraphicFramePr>
        <xdr:cNvPr id="3" name="Chart 2">
          <a:extLst>
            <a:ext uri="{FF2B5EF4-FFF2-40B4-BE49-F238E27FC236}">
              <a16:creationId xmlns:a16="http://schemas.microsoft.com/office/drawing/2014/main" id="{D64F6C35-EB85-4EE4-8E2D-5EBE271BA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321414</xdr:colOff>
      <xdr:row>3</xdr:row>
      <xdr:rowOff>22412</xdr:rowOff>
    </xdr:from>
    <xdr:to>
      <xdr:col>15</xdr:col>
      <xdr:colOff>7470</xdr:colOff>
      <xdr:row>18</xdr:row>
      <xdr:rowOff>5871</xdr:rowOff>
    </xdr:to>
    <xdr:graphicFrame macro="">
      <xdr:nvGraphicFramePr>
        <xdr:cNvPr id="4" name="Chart 3">
          <a:extLst>
            <a:ext uri="{FF2B5EF4-FFF2-40B4-BE49-F238E27FC236}">
              <a16:creationId xmlns:a16="http://schemas.microsoft.com/office/drawing/2014/main" id="{2DF785CF-E756-4E3F-B169-1070B34C5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22456</xdr:colOff>
      <xdr:row>3</xdr:row>
      <xdr:rowOff>15112</xdr:rowOff>
    </xdr:from>
    <xdr:to>
      <xdr:col>18</xdr:col>
      <xdr:colOff>13492</xdr:colOff>
      <xdr:row>8</xdr:row>
      <xdr:rowOff>5847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BE6A505-123B-2257-6577-4DCFCD4CCB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194678" y="551334"/>
              <a:ext cx="1825481" cy="8844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29478</xdr:colOff>
      <xdr:row>24</xdr:row>
      <xdr:rowOff>22263</xdr:rowOff>
    </xdr:from>
    <xdr:to>
      <xdr:col>18</xdr:col>
      <xdr:colOff>20514</xdr:colOff>
      <xdr:row>33</xdr:row>
      <xdr:rowOff>132521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BE148C8-96A5-7A33-67F2-D98BCA98C5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201700" y="4312041"/>
              <a:ext cx="1825481" cy="17189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24275</xdr:colOff>
      <xdr:row>14</xdr:row>
      <xdr:rowOff>105084</xdr:rowOff>
    </xdr:from>
    <xdr:to>
      <xdr:col>18</xdr:col>
      <xdr:colOff>15311</xdr:colOff>
      <xdr:row>23</xdr:row>
      <xdr:rowOff>176696</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FA0E23A9-F120-159F-4B18-EB3FE50D404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196497" y="2607454"/>
              <a:ext cx="1825481" cy="16802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18423</xdr:colOff>
      <xdr:row>8</xdr:row>
      <xdr:rowOff>26796</xdr:rowOff>
    </xdr:from>
    <xdr:to>
      <xdr:col>18</xdr:col>
      <xdr:colOff>9459</xdr:colOff>
      <xdr:row>14</xdr:row>
      <xdr:rowOff>97766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671D680-B9FB-CF2D-7EAA-9B55EFADEA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0645" y="1456722"/>
              <a:ext cx="1825481" cy="114341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a Happy" refreshedDate="45981.543570486108" createdVersion="8" refreshedVersion="8" minRefreshableVersion="3" recordCount="1000" xr:uid="{20470159-555D-4FB6-917B-4E7283FC5C71}">
  <cacheSource type="worksheet">
    <worksheetSource name="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39545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1"/>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1"/>
    <x v="1"/>
  </r>
  <r>
    <n v="12291"/>
    <x v="1"/>
    <x v="1"/>
    <n v="90000"/>
    <n v="5"/>
    <x v="1"/>
    <x v="2"/>
    <s v="No"/>
    <n v="2"/>
    <x v="1"/>
    <x v="0"/>
    <n v="62"/>
    <x v="1"/>
    <x v="1"/>
  </r>
  <r>
    <n v="28380"/>
    <x v="1"/>
    <x v="0"/>
    <n v="10000"/>
    <n v="5"/>
    <x v="3"/>
    <x v="3"/>
    <s v="No"/>
    <n v="2"/>
    <x v="0"/>
    <x v="0"/>
    <n v="41"/>
    <x v="0"/>
    <x v="0"/>
  </r>
  <r>
    <n v="17891"/>
    <x v="0"/>
    <x v="0"/>
    <n v="10000"/>
    <n v="2"/>
    <x v="1"/>
    <x v="3"/>
    <s v="Yes"/>
    <n v="1"/>
    <x v="0"/>
    <x v="0"/>
    <n v="50"/>
    <x v="1"/>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1"/>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1"/>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1"/>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1"/>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1"/>
    <x v="1"/>
  </r>
  <r>
    <n v="16514"/>
    <x v="1"/>
    <x v="1"/>
    <n v="10000"/>
    <n v="0"/>
    <x v="1"/>
    <x v="3"/>
    <s v="Yes"/>
    <n v="1"/>
    <x v="3"/>
    <x v="1"/>
    <n v="26"/>
    <x v="2"/>
    <x v="1"/>
  </r>
  <r>
    <n v="17191"/>
    <x v="1"/>
    <x v="1"/>
    <n v="130000"/>
    <n v="3"/>
    <x v="1"/>
    <x v="2"/>
    <s v="No"/>
    <n v="3"/>
    <x v="0"/>
    <x v="0"/>
    <n v="51"/>
    <x v="1"/>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1"/>
    <x v="1"/>
  </r>
  <r>
    <n v="27494"/>
    <x v="1"/>
    <x v="0"/>
    <n v="40000"/>
    <n v="2"/>
    <x v="1"/>
    <x v="0"/>
    <s v="No"/>
    <n v="2"/>
    <x v="3"/>
    <x v="1"/>
    <n v="53"/>
    <x v="1"/>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1"/>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1"/>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1"/>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1"/>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1"/>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1"/>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1"/>
    <x v="1"/>
  </r>
  <r>
    <n v="18494"/>
    <x v="0"/>
    <x v="1"/>
    <n v="110000"/>
    <n v="5"/>
    <x v="0"/>
    <x v="4"/>
    <s v="Yes"/>
    <n v="4"/>
    <x v="1"/>
    <x v="1"/>
    <n v="48"/>
    <x v="0"/>
    <x v="1"/>
  </r>
  <r>
    <n v="11249"/>
    <x v="0"/>
    <x v="0"/>
    <n v="130000"/>
    <n v="3"/>
    <x v="1"/>
    <x v="2"/>
    <s v="Yes"/>
    <n v="3"/>
    <x v="0"/>
    <x v="0"/>
    <n v="51"/>
    <x v="1"/>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1"/>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1"/>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1"/>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1"/>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1"/>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1"/>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1"/>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1"/>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1"/>
    <x v="1"/>
  </r>
  <r>
    <n v="25918"/>
    <x v="1"/>
    <x v="0"/>
    <n v="30000"/>
    <n v="2"/>
    <x v="1"/>
    <x v="1"/>
    <s v="No"/>
    <n v="2"/>
    <x v="2"/>
    <x v="1"/>
    <n v="60"/>
    <x v="1"/>
    <x v="1"/>
  </r>
  <r>
    <n v="25752"/>
    <x v="1"/>
    <x v="0"/>
    <n v="20000"/>
    <n v="2"/>
    <x v="1"/>
    <x v="3"/>
    <s v="No"/>
    <n v="1"/>
    <x v="0"/>
    <x v="0"/>
    <n v="53"/>
    <x v="1"/>
    <x v="1"/>
  </r>
  <r>
    <n v="17324"/>
    <x v="0"/>
    <x v="0"/>
    <n v="100000"/>
    <n v="4"/>
    <x v="0"/>
    <x v="2"/>
    <s v="Yes"/>
    <n v="1"/>
    <x v="4"/>
    <x v="1"/>
    <n v="46"/>
    <x v="0"/>
    <x v="0"/>
  </r>
  <r>
    <n v="22918"/>
    <x v="1"/>
    <x v="1"/>
    <n v="80000"/>
    <n v="5"/>
    <x v="4"/>
    <x v="4"/>
    <s v="Yes"/>
    <n v="3"/>
    <x v="0"/>
    <x v="1"/>
    <n v="50"/>
    <x v="1"/>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1"/>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1"/>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1"/>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1"/>
    <x v="1"/>
  </r>
  <r>
    <n v="25792"/>
    <x v="1"/>
    <x v="0"/>
    <n v="110000"/>
    <n v="3"/>
    <x v="0"/>
    <x v="4"/>
    <s v="Yes"/>
    <n v="4"/>
    <x v="4"/>
    <x v="0"/>
    <n v="53"/>
    <x v="1"/>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1"/>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1"/>
    <x v="1"/>
  </r>
  <r>
    <n v="18153"/>
    <x v="0"/>
    <x v="0"/>
    <n v="100000"/>
    <n v="2"/>
    <x v="0"/>
    <x v="4"/>
    <s v="Yes"/>
    <n v="4"/>
    <x v="4"/>
    <x v="0"/>
    <n v="59"/>
    <x v="1"/>
    <x v="0"/>
  </r>
  <r>
    <n v="14547"/>
    <x v="0"/>
    <x v="1"/>
    <n v="10000"/>
    <n v="2"/>
    <x v="1"/>
    <x v="3"/>
    <s v="Yes"/>
    <n v="0"/>
    <x v="3"/>
    <x v="0"/>
    <n v="51"/>
    <x v="1"/>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1"/>
    <x v="1"/>
  </r>
  <r>
    <n v="29447"/>
    <x v="1"/>
    <x v="0"/>
    <n v="10000"/>
    <n v="2"/>
    <x v="0"/>
    <x v="1"/>
    <s v="No"/>
    <n v="1"/>
    <x v="1"/>
    <x v="0"/>
    <n v="68"/>
    <x v="1"/>
    <x v="0"/>
  </r>
  <r>
    <n v="19784"/>
    <x v="0"/>
    <x v="0"/>
    <n v="80000"/>
    <n v="2"/>
    <x v="2"/>
    <x v="0"/>
    <s v="Yes"/>
    <n v="2"/>
    <x v="2"/>
    <x v="1"/>
    <n v="50"/>
    <x v="1"/>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1"/>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1"/>
    <x v="1"/>
  </r>
  <r>
    <n v="26385"/>
    <x v="1"/>
    <x v="1"/>
    <n v="120000"/>
    <n v="3"/>
    <x v="2"/>
    <x v="2"/>
    <s v="No"/>
    <n v="4"/>
    <x v="2"/>
    <x v="0"/>
    <n v="50"/>
    <x v="1"/>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1"/>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1"/>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1"/>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1"/>
    <x v="0"/>
  </r>
  <r>
    <n v="25375"/>
    <x v="0"/>
    <x v="1"/>
    <n v="50000"/>
    <n v="1"/>
    <x v="4"/>
    <x v="0"/>
    <s v="Yes"/>
    <n v="0"/>
    <x v="3"/>
    <x v="2"/>
    <n v="34"/>
    <x v="0"/>
    <x v="0"/>
  </r>
  <r>
    <n v="11143"/>
    <x v="0"/>
    <x v="1"/>
    <n v="40000"/>
    <n v="0"/>
    <x v="2"/>
    <x v="0"/>
    <s v="Yes"/>
    <n v="2"/>
    <x v="2"/>
    <x v="2"/>
    <n v="29"/>
    <x v="2"/>
    <x v="0"/>
  </r>
  <r>
    <n v="25898"/>
    <x v="0"/>
    <x v="0"/>
    <n v="70000"/>
    <n v="2"/>
    <x v="2"/>
    <x v="2"/>
    <s v="Yes"/>
    <n v="2"/>
    <x v="1"/>
    <x v="2"/>
    <n v="53"/>
    <x v="1"/>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1"/>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1"/>
    <x v="0"/>
  </r>
  <r>
    <n v="18935"/>
    <x v="0"/>
    <x v="0"/>
    <n v="130000"/>
    <n v="0"/>
    <x v="4"/>
    <x v="4"/>
    <s v="Yes"/>
    <n v="3"/>
    <x v="3"/>
    <x v="2"/>
    <n v="40"/>
    <x v="0"/>
    <x v="0"/>
  </r>
  <r>
    <n v="16871"/>
    <x v="0"/>
    <x v="0"/>
    <n v="90000"/>
    <n v="2"/>
    <x v="2"/>
    <x v="2"/>
    <s v="Yes"/>
    <n v="1"/>
    <x v="4"/>
    <x v="2"/>
    <n v="51"/>
    <x v="1"/>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1"/>
    <x v="1"/>
  </r>
  <r>
    <n v="20000"/>
    <x v="0"/>
    <x v="1"/>
    <n v="60000"/>
    <n v="1"/>
    <x v="4"/>
    <x v="2"/>
    <s v="Yes"/>
    <n v="0"/>
    <x v="0"/>
    <x v="2"/>
    <n v="35"/>
    <x v="0"/>
    <x v="1"/>
  </r>
  <r>
    <n v="25261"/>
    <x v="0"/>
    <x v="1"/>
    <n v="40000"/>
    <n v="0"/>
    <x v="2"/>
    <x v="0"/>
    <s v="Yes"/>
    <n v="2"/>
    <x v="2"/>
    <x v="2"/>
    <n v="27"/>
    <x v="2"/>
    <x v="0"/>
  </r>
  <r>
    <n v="17458"/>
    <x v="1"/>
    <x v="1"/>
    <n v="70000"/>
    <n v="3"/>
    <x v="2"/>
    <x v="2"/>
    <s v="Yes"/>
    <n v="0"/>
    <x v="2"/>
    <x v="2"/>
    <n v="52"/>
    <x v="1"/>
    <x v="1"/>
  </r>
  <r>
    <n v="11644"/>
    <x v="1"/>
    <x v="1"/>
    <n v="40000"/>
    <n v="2"/>
    <x v="0"/>
    <x v="0"/>
    <s v="Yes"/>
    <n v="0"/>
    <x v="1"/>
    <x v="2"/>
    <n v="36"/>
    <x v="0"/>
    <x v="0"/>
  </r>
  <r>
    <n v="16145"/>
    <x v="1"/>
    <x v="0"/>
    <n v="70000"/>
    <n v="5"/>
    <x v="4"/>
    <x v="2"/>
    <s v="Yes"/>
    <n v="3"/>
    <x v="4"/>
    <x v="2"/>
    <n v="46"/>
    <x v="0"/>
    <x v="1"/>
  </r>
  <r>
    <n v="16890"/>
    <x v="0"/>
    <x v="1"/>
    <n v="60000"/>
    <n v="3"/>
    <x v="3"/>
    <x v="0"/>
    <s v="Yes"/>
    <n v="2"/>
    <x v="2"/>
    <x v="2"/>
    <n v="52"/>
    <x v="1"/>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1"/>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1"/>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1"/>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1"/>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1"/>
    <x v="0"/>
  </r>
  <r>
    <n v="23461"/>
    <x v="0"/>
    <x v="0"/>
    <n v="90000"/>
    <n v="5"/>
    <x v="1"/>
    <x v="2"/>
    <s v="Yes"/>
    <n v="3"/>
    <x v="1"/>
    <x v="2"/>
    <n v="40"/>
    <x v="0"/>
    <x v="0"/>
  </r>
  <r>
    <n v="29133"/>
    <x v="1"/>
    <x v="0"/>
    <n v="60000"/>
    <n v="4"/>
    <x v="0"/>
    <x v="0"/>
    <s v="No"/>
    <n v="2"/>
    <x v="0"/>
    <x v="2"/>
    <n v="42"/>
    <x v="0"/>
    <x v="0"/>
  </r>
  <r>
    <n v="27673"/>
    <x v="1"/>
    <x v="0"/>
    <n v="60000"/>
    <n v="3"/>
    <x v="4"/>
    <x v="4"/>
    <s v="Yes"/>
    <n v="2"/>
    <x v="2"/>
    <x v="2"/>
    <n v="53"/>
    <x v="1"/>
    <x v="1"/>
  </r>
  <r>
    <n v="12774"/>
    <x v="0"/>
    <x v="0"/>
    <n v="40000"/>
    <n v="1"/>
    <x v="1"/>
    <x v="1"/>
    <s v="Yes"/>
    <n v="1"/>
    <x v="3"/>
    <x v="2"/>
    <n v="51"/>
    <x v="1"/>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1"/>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1"/>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1"/>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1"/>
    <x v="0"/>
  </r>
  <r>
    <n v="27261"/>
    <x v="0"/>
    <x v="1"/>
    <n v="40000"/>
    <n v="1"/>
    <x v="0"/>
    <x v="0"/>
    <s v="No"/>
    <n v="1"/>
    <x v="0"/>
    <x v="2"/>
    <n v="36"/>
    <x v="0"/>
    <x v="1"/>
  </r>
  <r>
    <n v="18649"/>
    <x v="1"/>
    <x v="1"/>
    <n v="30000"/>
    <n v="1"/>
    <x v="2"/>
    <x v="1"/>
    <s v="Yes"/>
    <n v="2"/>
    <x v="3"/>
    <x v="2"/>
    <n v="51"/>
    <x v="1"/>
    <x v="1"/>
  </r>
  <r>
    <n v="21714"/>
    <x v="1"/>
    <x v="0"/>
    <n v="80000"/>
    <n v="5"/>
    <x v="4"/>
    <x v="0"/>
    <s v="No"/>
    <n v="0"/>
    <x v="0"/>
    <x v="2"/>
    <n v="47"/>
    <x v="0"/>
    <x v="0"/>
  </r>
  <r>
    <n v="23217"/>
    <x v="1"/>
    <x v="0"/>
    <n v="60000"/>
    <n v="3"/>
    <x v="4"/>
    <x v="2"/>
    <s v="Yes"/>
    <n v="0"/>
    <x v="1"/>
    <x v="2"/>
    <n v="43"/>
    <x v="0"/>
    <x v="1"/>
  </r>
  <r>
    <n v="23797"/>
    <x v="1"/>
    <x v="1"/>
    <n v="20000"/>
    <n v="3"/>
    <x v="3"/>
    <x v="1"/>
    <s v="No"/>
    <n v="2"/>
    <x v="0"/>
    <x v="2"/>
    <n v="50"/>
    <x v="1"/>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1"/>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1"/>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1"/>
    <x v="0"/>
  </r>
  <r>
    <n v="18363"/>
    <x v="0"/>
    <x v="1"/>
    <n v="40000"/>
    <n v="0"/>
    <x v="2"/>
    <x v="0"/>
    <s v="Yes"/>
    <n v="2"/>
    <x v="2"/>
    <x v="2"/>
    <n v="28"/>
    <x v="2"/>
    <x v="1"/>
  </r>
  <r>
    <n v="23256"/>
    <x v="1"/>
    <x v="1"/>
    <n v="30000"/>
    <n v="1"/>
    <x v="2"/>
    <x v="1"/>
    <s v="No"/>
    <n v="1"/>
    <x v="2"/>
    <x v="2"/>
    <n v="52"/>
    <x v="1"/>
    <x v="0"/>
  </r>
  <r>
    <n v="12768"/>
    <x v="0"/>
    <x v="1"/>
    <n v="30000"/>
    <n v="1"/>
    <x v="2"/>
    <x v="1"/>
    <s v="Yes"/>
    <n v="1"/>
    <x v="1"/>
    <x v="2"/>
    <n v="52"/>
    <x v="1"/>
    <x v="1"/>
  </r>
  <r>
    <n v="20361"/>
    <x v="0"/>
    <x v="1"/>
    <n v="50000"/>
    <n v="2"/>
    <x v="4"/>
    <x v="4"/>
    <s v="Yes"/>
    <n v="2"/>
    <x v="2"/>
    <x v="2"/>
    <n v="69"/>
    <x v="1"/>
    <x v="0"/>
  </r>
  <r>
    <n v="21306"/>
    <x v="1"/>
    <x v="1"/>
    <n v="60000"/>
    <n v="2"/>
    <x v="2"/>
    <x v="2"/>
    <s v="Yes"/>
    <n v="2"/>
    <x v="2"/>
    <x v="2"/>
    <n v="51"/>
    <x v="1"/>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1"/>
    <x v="0"/>
  </r>
  <r>
    <n v="21417"/>
    <x v="1"/>
    <x v="0"/>
    <n v="60000"/>
    <n v="0"/>
    <x v="1"/>
    <x v="2"/>
    <s v="No"/>
    <n v="2"/>
    <x v="3"/>
    <x v="2"/>
    <n v="32"/>
    <x v="0"/>
    <x v="1"/>
  </r>
  <r>
    <n v="17668"/>
    <x v="1"/>
    <x v="1"/>
    <n v="30000"/>
    <n v="2"/>
    <x v="2"/>
    <x v="0"/>
    <s v="Yes"/>
    <n v="2"/>
    <x v="3"/>
    <x v="2"/>
    <n v="50"/>
    <x v="1"/>
    <x v="1"/>
  </r>
  <r>
    <n v="27994"/>
    <x v="0"/>
    <x v="0"/>
    <n v="40000"/>
    <n v="4"/>
    <x v="2"/>
    <x v="2"/>
    <s v="Yes"/>
    <n v="2"/>
    <x v="2"/>
    <x v="2"/>
    <n v="69"/>
    <x v="1"/>
    <x v="0"/>
  </r>
  <r>
    <n v="20376"/>
    <x v="1"/>
    <x v="0"/>
    <n v="70000"/>
    <n v="3"/>
    <x v="4"/>
    <x v="4"/>
    <s v="Yes"/>
    <n v="2"/>
    <x v="2"/>
    <x v="2"/>
    <n v="52"/>
    <x v="1"/>
    <x v="1"/>
  </r>
  <r>
    <n v="25954"/>
    <x v="0"/>
    <x v="1"/>
    <n v="60000"/>
    <n v="0"/>
    <x v="1"/>
    <x v="0"/>
    <s v="No"/>
    <n v="2"/>
    <x v="3"/>
    <x v="2"/>
    <n v="31"/>
    <x v="0"/>
    <x v="0"/>
  </r>
  <r>
    <n v="15749"/>
    <x v="1"/>
    <x v="0"/>
    <n v="70000"/>
    <n v="4"/>
    <x v="0"/>
    <x v="4"/>
    <s v="Yes"/>
    <n v="2"/>
    <x v="4"/>
    <x v="2"/>
    <n v="61"/>
    <x v="1"/>
    <x v="0"/>
  </r>
  <r>
    <n v="25899"/>
    <x v="0"/>
    <x v="0"/>
    <n v="70000"/>
    <n v="2"/>
    <x v="2"/>
    <x v="2"/>
    <s v="Yes"/>
    <n v="2"/>
    <x v="4"/>
    <x v="2"/>
    <n v="53"/>
    <x v="1"/>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1"/>
    <x v="1"/>
  </r>
  <r>
    <n v="29048"/>
    <x v="1"/>
    <x v="1"/>
    <n v="110000"/>
    <n v="2"/>
    <x v="0"/>
    <x v="4"/>
    <s v="No"/>
    <n v="3"/>
    <x v="0"/>
    <x v="2"/>
    <n v="37"/>
    <x v="0"/>
    <x v="1"/>
  </r>
  <r>
    <n v="24433"/>
    <x v="0"/>
    <x v="1"/>
    <n v="70000"/>
    <n v="3"/>
    <x v="2"/>
    <x v="2"/>
    <s v="No"/>
    <n v="1"/>
    <x v="3"/>
    <x v="2"/>
    <n v="52"/>
    <x v="1"/>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1"/>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1"/>
    <x v="0"/>
  </r>
  <r>
    <n v="12056"/>
    <x v="0"/>
    <x v="1"/>
    <n v="120000"/>
    <n v="2"/>
    <x v="4"/>
    <x v="4"/>
    <s v="Yes"/>
    <n v="3"/>
    <x v="2"/>
    <x v="2"/>
    <n v="64"/>
    <x v="1"/>
    <x v="0"/>
  </r>
  <r>
    <n v="15555"/>
    <x v="0"/>
    <x v="0"/>
    <n v="60000"/>
    <n v="1"/>
    <x v="1"/>
    <x v="0"/>
    <s v="Yes"/>
    <n v="1"/>
    <x v="1"/>
    <x v="2"/>
    <n v="45"/>
    <x v="0"/>
    <x v="1"/>
  </r>
  <r>
    <n v="18423"/>
    <x v="1"/>
    <x v="1"/>
    <n v="80000"/>
    <n v="2"/>
    <x v="3"/>
    <x v="0"/>
    <s v="No"/>
    <n v="2"/>
    <x v="3"/>
    <x v="2"/>
    <n v="52"/>
    <x v="1"/>
    <x v="0"/>
  </r>
  <r>
    <n v="22743"/>
    <x v="0"/>
    <x v="0"/>
    <n v="40000"/>
    <n v="5"/>
    <x v="2"/>
    <x v="2"/>
    <s v="Yes"/>
    <n v="2"/>
    <x v="4"/>
    <x v="2"/>
    <n v="60"/>
    <x v="1"/>
    <x v="0"/>
  </r>
  <r>
    <n v="25343"/>
    <x v="1"/>
    <x v="0"/>
    <n v="20000"/>
    <n v="3"/>
    <x v="3"/>
    <x v="1"/>
    <s v="Yes"/>
    <n v="2"/>
    <x v="3"/>
    <x v="2"/>
    <n v="50"/>
    <x v="1"/>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1"/>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1"/>
    <x v="1"/>
  </r>
  <r>
    <n v="23197"/>
    <x v="0"/>
    <x v="1"/>
    <n v="50000"/>
    <n v="3"/>
    <x v="0"/>
    <x v="0"/>
    <s v="Yes"/>
    <n v="2"/>
    <x v="1"/>
    <x v="2"/>
    <n v="40"/>
    <x v="0"/>
    <x v="0"/>
  </r>
  <r>
    <n v="14883"/>
    <x v="0"/>
    <x v="0"/>
    <n v="30000"/>
    <n v="1"/>
    <x v="0"/>
    <x v="0"/>
    <s v="Yes"/>
    <n v="1"/>
    <x v="2"/>
    <x v="2"/>
    <n v="53"/>
    <x v="1"/>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1"/>
    <x v="0"/>
  </r>
  <r>
    <n v="12153"/>
    <x v="1"/>
    <x v="0"/>
    <n v="70000"/>
    <n v="3"/>
    <x v="1"/>
    <x v="2"/>
    <s v="Yes"/>
    <n v="1"/>
    <x v="2"/>
    <x v="2"/>
    <n v="49"/>
    <x v="0"/>
    <x v="1"/>
  </r>
  <r>
    <n v="16895"/>
    <x v="0"/>
    <x v="0"/>
    <n v="40000"/>
    <n v="3"/>
    <x v="1"/>
    <x v="2"/>
    <s v="No"/>
    <n v="2"/>
    <x v="3"/>
    <x v="2"/>
    <n v="54"/>
    <x v="1"/>
    <x v="1"/>
  </r>
  <r>
    <n v="26728"/>
    <x v="1"/>
    <x v="1"/>
    <n v="70000"/>
    <n v="3"/>
    <x v="4"/>
    <x v="4"/>
    <s v="No"/>
    <n v="2"/>
    <x v="3"/>
    <x v="2"/>
    <n v="53"/>
    <x v="1"/>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1"/>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1"/>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1"/>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1"/>
    <x v="0"/>
  </r>
  <r>
    <n v="14887"/>
    <x v="0"/>
    <x v="0"/>
    <n v="30000"/>
    <n v="1"/>
    <x v="2"/>
    <x v="1"/>
    <s v="Yes"/>
    <n v="1"/>
    <x v="2"/>
    <x v="2"/>
    <n v="52"/>
    <x v="1"/>
    <x v="0"/>
  </r>
  <r>
    <n v="11734"/>
    <x v="0"/>
    <x v="1"/>
    <n v="60000"/>
    <n v="1"/>
    <x v="1"/>
    <x v="0"/>
    <s v="No"/>
    <n v="1"/>
    <x v="0"/>
    <x v="2"/>
    <n v="47"/>
    <x v="0"/>
    <x v="0"/>
  </r>
  <r>
    <n v="17462"/>
    <x v="0"/>
    <x v="1"/>
    <n v="70000"/>
    <n v="3"/>
    <x v="4"/>
    <x v="4"/>
    <s v="Yes"/>
    <n v="2"/>
    <x v="2"/>
    <x v="2"/>
    <n v="53"/>
    <x v="1"/>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70539-E852-4D56-A104-F2D5E945B6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0E452D-DE36-4A1C-801A-4966878B32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D1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31ED50-64A1-4A05-AD01-DCA7705E57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3">
    <format dxfId="2">
      <pivotArea collapsedLevelsAreSubtotals="1" fieldPosition="0">
        <references count="1">
          <reference field="2" count="1">
            <x v="0"/>
          </reference>
        </references>
      </pivotArea>
    </format>
    <format dxfId="1">
      <pivotArea collapsedLevelsAreSubtotals="1" fieldPosition="0">
        <references count="1">
          <reference field="2" count="1">
            <x v="1"/>
          </reference>
        </references>
      </pivotArea>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4596213-DB66-4F41-896D-E9D4C54D8194}" sourceName="Marital Status">
  <pivotTables>
    <pivotTable tabId="3" name="PivotTable1"/>
    <pivotTable tabId="3" name="PivotTable2"/>
    <pivotTable tabId="3" name="PivotTable3"/>
  </pivotTables>
  <data>
    <tabular pivotCacheId="20395450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9D90BB7-1A00-4EA0-84EE-BB92531ADF59}" sourceName="Education">
  <pivotTables>
    <pivotTable tabId="3" name="PivotTable3"/>
    <pivotTable tabId="3" name="PivotTable1"/>
    <pivotTable tabId="3" name="PivotTable2"/>
  </pivotTables>
  <data>
    <tabular pivotCacheId="203954504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FF97793-1703-4774-8C64-E3E544602B21}" sourceName="Occupation">
  <pivotTables>
    <pivotTable tabId="3" name="PivotTable3"/>
    <pivotTable tabId="3" name="PivotTable1"/>
    <pivotTable tabId="3" name="PivotTable2"/>
  </pivotTables>
  <data>
    <tabular pivotCacheId="203954504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9C0730-188F-4707-8F00-E72E04821E8E}" sourceName="Region">
  <pivotTables>
    <pivotTable tabId="3" name="PivotTable3"/>
    <pivotTable tabId="3" name="PivotTable1"/>
    <pivotTable tabId="3" name="PivotTable2"/>
  </pivotTables>
  <data>
    <tabular pivotCacheId="20395450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69BB21F-5C4D-4000-88A1-D6BC79272742}" cache="Slicer_Marital_Status" caption="Marital Status" rowHeight="234950"/>
  <slicer name="Education" xr10:uid="{2C23641A-6BEB-4B1C-AE25-8BD6BBB3D605}" cache="Slicer_Education" caption="Education" rowHeight="234950"/>
  <slicer name="Occupation" xr10:uid="{AA3CA86A-0793-43C7-953F-6244E21DA5DE}" cache="Slicer_Occupation" caption="Occupation" rowHeight="234950"/>
  <slicer name="Region" xr10:uid="{1CE99AF2-4F7B-4DD2-AB39-53E392174DB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2A26A6-A2FB-4B22-BFF2-D7348AF282E7}" name="Working_Sheet" displayName="Working_Sheet" ref="A1:N1001" totalsRowShown="0">
  <autoFilter ref="A1:N1001" xr:uid="{A82A26A6-A2FB-4B22-BFF2-D7348AF282E7}"/>
  <tableColumns count="14">
    <tableColumn id="1" xr3:uid="{B77813D7-0404-4912-A488-73850D769C42}" name="ID"/>
    <tableColumn id="2" xr3:uid="{55205C72-B130-4C30-B5FA-925328982DB4}" name="Marital Status"/>
    <tableColumn id="3" xr3:uid="{354B2102-8346-4151-B6FE-121609DA3102}" name="Gender"/>
    <tableColumn id="4" xr3:uid="{8B2B8155-C690-4036-93FF-4A42233EBB6B}" name="Income" dataDxfId="4"/>
    <tableColumn id="5" xr3:uid="{770F2976-CA36-48E6-818F-3FF8B86CC9B5}" name="Children"/>
    <tableColumn id="6" xr3:uid="{03977989-6DD1-43A8-9007-6126032B2428}" name="Education"/>
    <tableColumn id="7" xr3:uid="{D889B1C4-9866-4471-AFAB-B686AACD6A89}" name="Occupation"/>
    <tableColumn id="8" xr3:uid="{015721CD-623A-4192-910C-5A9DDEB69D5E}" name="Home Owner"/>
    <tableColumn id="9" xr3:uid="{767C931A-F71F-4C5E-91D6-EDC9C6947F2E}" name="Cars"/>
    <tableColumn id="10" xr3:uid="{D14BAE56-6E1D-4182-82BF-70D7EF3D2837}" name="Commute Distance"/>
    <tableColumn id="11" xr3:uid="{EAA4D096-E170-4F8C-BDF8-DB46EBFBA900}" name="Region"/>
    <tableColumn id="12" xr3:uid="{932769C9-A137-47E3-A310-AB40EA560205}" name="Age"/>
    <tableColumn id="14" xr3:uid="{00079E3A-3D53-4458-9D93-81CC48975F51}" name="Age Bracket" dataDxfId="3">
      <calculatedColumnFormula>IF(L2&gt;=50,"Old",IF(L2&gt;=31,"Middle Age",IF(L2&lt;31,"Adolescent","Invalid")))</calculatedColumnFormula>
    </tableColumn>
    <tableColumn id="13" xr3:uid="{67E72D95-7F6B-4A35-BDB6-77521941C279}" name="Purchased Bike"/>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3" sqref="E13"/>
    </sheetView>
  </sheetViews>
  <sheetFormatPr defaultColWidth="11.88671875" defaultRowHeight="14.4" x14ac:dyDescent="0.3"/>
  <cols>
    <col min="6" max="6" width="18.2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495B-9FE6-44D0-8769-DF9BD72B9321}">
  <dimension ref="A1:N1001"/>
  <sheetViews>
    <sheetView tabSelected="1" workbookViewId="0">
      <pane ySplit="1" topLeftCell="A2" activePane="bottomLeft" state="frozen"/>
      <selection activeCell="B1" sqref="B1"/>
      <selection pane="bottomLeft" activeCell="B2" sqref="B2"/>
    </sheetView>
  </sheetViews>
  <sheetFormatPr defaultRowHeight="14.4" x14ac:dyDescent="0.3"/>
  <cols>
    <col min="2" max="2" width="16.6640625" customWidth="1"/>
    <col min="3" max="3" width="13.77734375" customWidth="1"/>
    <col min="4" max="4" width="14.33203125" style="6" customWidth="1"/>
    <col min="5" max="5" width="10.77734375" customWidth="1"/>
    <col min="6" max="6" width="15.44140625" customWidth="1"/>
    <col min="7" max="7" width="16.21875" customWidth="1"/>
    <col min="8" max="8" width="13.88671875" customWidth="1"/>
    <col min="10" max="10" width="20.77734375" customWidth="1"/>
    <col min="11" max="11" width="10.21875" customWidth="1"/>
    <col min="13" max="13" width="15.77734375" customWidth="1"/>
    <col min="14" max="14" width="15.6640625" customWidth="1"/>
  </cols>
  <sheetData>
    <row r="1" spans="1:14" ht="24.6" customHeight="1" x14ac:dyDescent="0.3">
      <c r="A1" t="s">
        <v>0</v>
      </c>
      <c r="B1" t="s">
        <v>1</v>
      </c>
      <c r="C1" t="s">
        <v>2</v>
      </c>
      <c r="D1" s="6" t="s">
        <v>3</v>
      </c>
      <c r="E1" t="s">
        <v>4</v>
      </c>
      <c r="F1" t="s">
        <v>5</v>
      </c>
      <c r="G1" t="s">
        <v>6</v>
      </c>
      <c r="H1" t="s">
        <v>7</v>
      </c>
      <c r="I1" t="s">
        <v>8</v>
      </c>
      <c r="J1" t="s">
        <v>9</v>
      </c>
      <c r="K1" t="s">
        <v>10</v>
      </c>
      <c r="L1" t="s">
        <v>11</v>
      </c>
      <c r="M1" t="s">
        <v>40</v>
      </c>
      <c r="N1" t="s">
        <v>12</v>
      </c>
    </row>
    <row r="2" spans="1:14" x14ac:dyDescent="0.3">
      <c r="A2">
        <v>12496</v>
      </c>
      <c r="B2" t="s">
        <v>36</v>
      </c>
      <c r="C2" t="s">
        <v>38</v>
      </c>
      <c r="D2" s="6">
        <v>40000</v>
      </c>
      <c r="E2">
        <v>1</v>
      </c>
      <c r="F2" t="s">
        <v>13</v>
      </c>
      <c r="G2" t="s">
        <v>14</v>
      </c>
      <c r="H2" t="s">
        <v>15</v>
      </c>
      <c r="I2">
        <v>0</v>
      </c>
      <c r="J2" t="s">
        <v>16</v>
      </c>
      <c r="K2" t="s">
        <v>17</v>
      </c>
      <c r="L2">
        <v>42</v>
      </c>
      <c r="M2" t="str">
        <f t="shared" ref="M2:M65" si="0">IF(L2&gt;=50,"Old",IF(L2&gt;=31,"Middle Age",IF(L2&lt;31,"Adolescent","Invalid")))</f>
        <v>Middle Age</v>
      </c>
      <c r="N2" t="s">
        <v>18</v>
      </c>
    </row>
    <row r="3" spans="1:14" x14ac:dyDescent="0.3">
      <c r="A3">
        <v>24107</v>
      </c>
      <c r="B3" t="s">
        <v>36</v>
      </c>
      <c r="C3" t="s">
        <v>37</v>
      </c>
      <c r="D3" s="6">
        <v>30000</v>
      </c>
      <c r="E3">
        <v>3</v>
      </c>
      <c r="F3" t="s">
        <v>19</v>
      </c>
      <c r="G3" t="s">
        <v>20</v>
      </c>
      <c r="H3" t="s">
        <v>15</v>
      </c>
      <c r="I3">
        <v>1</v>
      </c>
      <c r="J3" t="s">
        <v>16</v>
      </c>
      <c r="K3" t="s">
        <v>17</v>
      </c>
      <c r="L3">
        <v>43</v>
      </c>
      <c r="M3" t="str">
        <f t="shared" si="0"/>
        <v>Middle Age</v>
      </c>
      <c r="N3" t="s">
        <v>18</v>
      </c>
    </row>
    <row r="4" spans="1:14" x14ac:dyDescent="0.3">
      <c r="A4">
        <v>14177</v>
      </c>
      <c r="B4" t="s">
        <v>36</v>
      </c>
      <c r="C4" t="s">
        <v>37</v>
      </c>
      <c r="D4" s="6">
        <v>80000</v>
      </c>
      <c r="E4">
        <v>5</v>
      </c>
      <c r="F4" t="s">
        <v>19</v>
      </c>
      <c r="G4" t="s">
        <v>21</v>
      </c>
      <c r="H4" t="s">
        <v>18</v>
      </c>
      <c r="I4">
        <v>2</v>
      </c>
      <c r="J4" t="s">
        <v>22</v>
      </c>
      <c r="K4" t="s">
        <v>17</v>
      </c>
      <c r="L4">
        <v>60</v>
      </c>
      <c r="M4" t="str">
        <f t="shared" si="0"/>
        <v>Old</v>
      </c>
      <c r="N4" t="s">
        <v>18</v>
      </c>
    </row>
    <row r="5" spans="1:14" x14ac:dyDescent="0.3">
      <c r="A5">
        <v>24381</v>
      </c>
      <c r="B5" t="s">
        <v>39</v>
      </c>
      <c r="C5" t="s">
        <v>37</v>
      </c>
      <c r="D5" s="6">
        <v>70000</v>
      </c>
      <c r="E5">
        <v>0</v>
      </c>
      <c r="F5" t="s">
        <v>13</v>
      </c>
      <c r="G5" t="s">
        <v>21</v>
      </c>
      <c r="H5" t="s">
        <v>15</v>
      </c>
      <c r="I5">
        <v>1</v>
      </c>
      <c r="J5" t="s">
        <v>23</v>
      </c>
      <c r="K5" t="s">
        <v>24</v>
      </c>
      <c r="L5">
        <v>41</v>
      </c>
      <c r="M5" t="str">
        <f t="shared" si="0"/>
        <v>Middle Age</v>
      </c>
      <c r="N5" t="s">
        <v>15</v>
      </c>
    </row>
    <row r="6" spans="1:14" x14ac:dyDescent="0.3">
      <c r="A6">
        <v>25597</v>
      </c>
      <c r="B6" t="s">
        <v>39</v>
      </c>
      <c r="C6" t="s">
        <v>37</v>
      </c>
      <c r="D6" s="6">
        <v>30000</v>
      </c>
      <c r="E6">
        <v>0</v>
      </c>
      <c r="F6" t="s">
        <v>13</v>
      </c>
      <c r="G6" t="s">
        <v>20</v>
      </c>
      <c r="H6" t="s">
        <v>18</v>
      </c>
      <c r="I6">
        <v>0</v>
      </c>
      <c r="J6" t="s">
        <v>16</v>
      </c>
      <c r="K6" t="s">
        <v>17</v>
      </c>
      <c r="L6">
        <v>36</v>
      </c>
      <c r="M6" t="str">
        <f t="shared" si="0"/>
        <v>Middle Age</v>
      </c>
      <c r="N6" t="s">
        <v>15</v>
      </c>
    </row>
    <row r="7" spans="1:14" x14ac:dyDescent="0.3">
      <c r="A7">
        <v>13507</v>
      </c>
      <c r="B7" t="s">
        <v>36</v>
      </c>
      <c r="C7" t="s">
        <v>38</v>
      </c>
      <c r="D7" s="6">
        <v>10000</v>
      </c>
      <c r="E7">
        <v>2</v>
      </c>
      <c r="F7" t="s">
        <v>19</v>
      </c>
      <c r="G7" t="s">
        <v>25</v>
      </c>
      <c r="H7" t="s">
        <v>15</v>
      </c>
      <c r="I7">
        <v>0</v>
      </c>
      <c r="J7" t="s">
        <v>26</v>
      </c>
      <c r="K7" t="s">
        <v>17</v>
      </c>
      <c r="L7">
        <v>50</v>
      </c>
      <c r="M7" t="str">
        <f t="shared" si="0"/>
        <v>Old</v>
      </c>
      <c r="N7" t="s">
        <v>18</v>
      </c>
    </row>
    <row r="8" spans="1:14" x14ac:dyDescent="0.3">
      <c r="A8">
        <v>27974</v>
      </c>
      <c r="B8" t="s">
        <v>39</v>
      </c>
      <c r="C8" t="s">
        <v>37</v>
      </c>
      <c r="D8" s="6">
        <v>160000</v>
      </c>
      <c r="E8">
        <v>2</v>
      </c>
      <c r="F8" t="s">
        <v>27</v>
      </c>
      <c r="G8" t="s">
        <v>28</v>
      </c>
      <c r="H8" t="s">
        <v>15</v>
      </c>
      <c r="I8">
        <v>4</v>
      </c>
      <c r="J8" t="s">
        <v>16</v>
      </c>
      <c r="K8" t="s">
        <v>24</v>
      </c>
      <c r="L8">
        <v>33</v>
      </c>
      <c r="M8" t="str">
        <f t="shared" si="0"/>
        <v>Middle Age</v>
      </c>
      <c r="N8" t="s">
        <v>15</v>
      </c>
    </row>
    <row r="9" spans="1:14" x14ac:dyDescent="0.3">
      <c r="A9">
        <v>19364</v>
      </c>
      <c r="B9" t="s">
        <v>36</v>
      </c>
      <c r="C9" t="s">
        <v>37</v>
      </c>
      <c r="D9" s="6">
        <v>40000</v>
      </c>
      <c r="E9">
        <v>1</v>
      </c>
      <c r="F9" t="s">
        <v>13</v>
      </c>
      <c r="G9" t="s">
        <v>14</v>
      </c>
      <c r="H9" t="s">
        <v>15</v>
      </c>
      <c r="I9">
        <v>0</v>
      </c>
      <c r="J9" t="s">
        <v>16</v>
      </c>
      <c r="K9" t="s">
        <v>17</v>
      </c>
      <c r="L9">
        <v>43</v>
      </c>
      <c r="M9" t="str">
        <f t="shared" si="0"/>
        <v>Middle Age</v>
      </c>
      <c r="N9" t="s">
        <v>15</v>
      </c>
    </row>
    <row r="10" spans="1:14" x14ac:dyDescent="0.3">
      <c r="A10">
        <v>22155</v>
      </c>
      <c r="B10" t="s">
        <v>36</v>
      </c>
      <c r="C10" t="s">
        <v>37</v>
      </c>
      <c r="D10" s="6">
        <v>20000</v>
      </c>
      <c r="E10">
        <v>2</v>
      </c>
      <c r="F10" t="s">
        <v>29</v>
      </c>
      <c r="G10" t="s">
        <v>20</v>
      </c>
      <c r="H10" t="s">
        <v>15</v>
      </c>
      <c r="I10">
        <v>2</v>
      </c>
      <c r="J10" t="s">
        <v>23</v>
      </c>
      <c r="K10" t="s">
        <v>24</v>
      </c>
      <c r="L10">
        <v>58</v>
      </c>
      <c r="M10" t="str">
        <f t="shared" si="0"/>
        <v>Old</v>
      </c>
      <c r="N10" t="s">
        <v>18</v>
      </c>
    </row>
    <row r="11" spans="1:14" x14ac:dyDescent="0.3">
      <c r="A11">
        <v>19280</v>
      </c>
      <c r="B11" t="s">
        <v>36</v>
      </c>
      <c r="C11" t="s">
        <v>37</v>
      </c>
      <c r="D11" s="6">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6">
        <v>30000</v>
      </c>
      <c r="E12">
        <v>3</v>
      </c>
      <c r="F12" t="s">
        <v>27</v>
      </c>
      <c r="G12" t="s">
        <v>14</v>
      </c>
      <c r="H12" t="s">
        <v>18</v>
      </c>
      <c r="I12">
        <v>2</v>
      </c>
      <c r="J12" t="s">
        <v>26</v>
      </c>
      <c r="K12" t="s">
        <v>24</v>
      </c>
      <c r="L12">
        <v>54</v>
      </c>
      <c r="M12" t="str">
        <f t="shared" si="0"/>
        <v>Old</v>
      </c>
      <c r="N12" t="s">
        <v>15</v>
      </c>
    </row>
    <row r="13" spans="1:14" x14ac:dyDescent="0.3">
      <c r="A13">
        <v>12697</v>
      </c>
      <c r="B13" t="s">
        <v>39</v>
      </c>
      <c r="C13" t="s">
        <v>38</v>
      </c>
      <c r="D13" s="6">
        <v>90000</v>
      </c>
      <c r="E13">
        <v>0</v>
      </c>
      <c r="F13" t="s">
        <v>13</v>
      </c>
      <c r="G13" t="s">
        <v>21</v>
      </c>
      <c r="H13" t="s">
        <v>18</v>
      </c>
      <c r="I13">
        <v>4</v>
      </c>
      <c r="J13" t="s">
        <v>46</v>
      </c>
      <c r="K13" t="s">
        <v>24</v>
      </c>
      <c r="L13">
        <v>36</v>
      </c>
      <c r="M13" t="str">
        <f t="shared" si="0"/>
        <v>Middle Age</v>
      </c>
      <c r="N13" t="s">
        <v>18</v>
      </c>
    </row>
    <row r="14" spans="1:14" x14ac:dyDescent="0.3">
      <c r="A14">
        <v>11434</v>
      </c>
      <c r="B14" t="s">
        <v>36</v>
      </c>
      <c r="C14" t="s">
        <v>37</v>
      </c>
      <c r="D14" s="6">
        <v>170000</v>
      </c>
      <c r="E14">
        <v>5</v>
      </c>
      <c r="F14" t="s">
        <v>19</v>
      </c>
      <c r="G14" t="s">
        <v>21</v>
      </c>
      <c r="H14" t="s">
        <v>15</v>
      </c>
      <c r="I14">
        <v>0</v>
      </c>
      <c r="J14" t="s">
        <v>16</v>
      </c>
      <c r="K14" t="s">
        <v>17</v>
      </c>
      <c r="L14">
        <v>55</v>
      </c>
      <c r="M14" t="str">
        <f t="shared" si="0"/>
        <v>Old</v>
      </c>
      <c r="N14" t="s">
        <v>18</v>
      </c>
    </row>
    <row r="15" spans="1:14" x14ac:dyDescent="0.3">
      <c r="A15">
        <v>25323</v>
      </c>
      <c r="B15" t="s">
        <v>36</v>
      </c>
      <c r="C15" t="s">
        <v>37</v>
      </c>
      <c r="D15" s="6">
        <v>40000</v>
      </c>
      <c r="E15">
        <v>2</v>
      </c>
      <c r="F15" t="s">
        <v>19</v>
      </c>
      <c r="G15" t="s">
        <v>20</v>
      </c>
      <c r="H15" t="s">
        <v>15</v>
      </c>
      <c r="I15">
        <v>1</v>
      </c>
      <c r="J15" t="s">
        <v>26</v>
      </c>
      <c r="K15" t="s">
        <v>17</v>
      </c>
      <c r="L15">
        <v>35</v>
      </c>
      <c r="M15" t="str">
        <f t="shared" si="0"/>
        <v>Middle Age</v>
      </c>
      <c r="N15" t="s">
        <v>15</v>
      </c>
    </row>
    <row r="16" spans="1:14" x14ac:dyDescent="0.3">
      <c r="A16">
        <v>23542</v>
      </c>
      <c r="B16" t="s">
        <v>39</v>
      </c>
      <c r="C16" t="s">
        <v>37</v>
      </c>
      <c r="D16" s="6">
        <v>60000</v>
      </c>
      <c r="E16">
        <v>1</v>
      </c>
      <c r="F16" t="s">
        <v>19</v>
      </c>
      <c r="G16" t="s">
        <v>14</v>
      </c>
      <c r="H16" t="s">
        <v>18</v>
      </c>
      <c r="I16">
        <v>1</v>
      </c>
      <c r="J16" t="s">
        <v>16</v>
      </c>
      <c r="K16" t="s">
        <v>24</v>
      </c>
      <c r="L16">
        <v>45</v>
      </c>
      <c r="M16" t="str">
        <f t="shared" si="0"/>
        <v>Middle Age</v>
      </c>
      <c r="N16" t="s">
        <v>15</v>
      </c>
    </row>
    <row r="17" spans="1:14" x14ac:dyDescent="0.3">
      <c r="A17">
        <v>20870</v>
      </c>
      <c r="B17" t="s">
        <v>39</v>
      </c>
      <c r="C17" t="s">
        <v>38</v>
      </c>
      <c r="D17" s="6">
        <v>10000</v>
      </c>
      <c r="E17">
        <v>2</v>
      </c>
      <c r="F17" t="s">
        <v>27</v>
      </c>
      <c r="G17" t="s">
        <v>25</v>
      </c>
      <c r="H17" t="s">
        <v>15</v>
      </c>
      <c r="I17">
        <v>1</v>
      </c>
      <c r="J17" t="s">
        <v>16</v>
      </c>
      <c r="K17" t="s">
        <v>17</v>
      </c>
      <c r="L17">
        <v>38</v>
      </c>
      <c r="M17" t="str">
        <f t="shared" si="0"/>
        <v>Middle Age</v>
      </c>
      <c r="N17" t="s">
        <v>15</v>
      </c>
    </row>
    <row r="18" spans="1:14" x14ac:dyDescent="0.3">
      <c r="A18">
        <v>23316</v>
      </c>
      <c r="B18" t="s">
        <v>39</v>
      </c>
      <c r="C18" t="s">
        <v>37</v>
      </c>
      <c r="D18" s="6">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6">
        <v>30000</v>
      </c>
      <c r="E19">
        <v>1</v>
      </c>
      <c r="F19" t="s">
        <v>13</v>
      </c>
      <c r="G19" t="s">
        <v>20</v>
      </c>
      <c r="H19" t="s">
        <v>15</v>
      </c>
      <c r="I19">
        <v>0</v>
      </c>
      <c r="J19" t="s">
        <v>16</v>
      </c>
      <c r="K19" t="s">
        <v>17</v>
      </c>
      <c r="L19">
        <v>47</v>
      </c>
      <c r="M19" t="str">
        <f t="shared" si="0"/>
        <v>Middle Age</v>
      </c>
      <c r="N19" t="s">
        <v>18</v>
      </c>
    </row>
    <row r="20" spans="1:14" x14ac:dyDescent="0.3">
      <c r="A20">
        <v>27183</v>
      </c>
      <c r="B20" t="s">
        <v>39</v>
      </c>
      <c r="C20" t="s">
        <v>37</v>
      </c>
      <c r="D20" s="6">
        <v>40000</v>
      </c>
      <c r="E20">
        <v>2</v>
      </c>
      <c r="F20" t="s">
        <v>19</v>
      </c>
      <c r="G20" t="s">
        <v>20</v>
      </c>
      <c r="H20" t="s">
        <v>15</v>
      </c>
      <c r="I20">
        <v>1</v>
      </c>
      <c r="J20" t="s">
        <v>26</v>
      </c>
      <c r="K20" t="s">
        <v>17</v>
      </c>
      <c r="L20">
        <v>35</v>
      </c>
      <c r="M20" t="str">
        <f t="shared" si="0"/>
        <v>Middle Age</v>
      </c>
      <c r="N20" t="s">
        <v>15</v>
      </c>
    </row>
    <row r="21" spans="1:14" x14ac:dyDescent="0.3">
      <c r="A21">
        <v>25940</v>
      </c>
      <c r="B21" t="s">
        <v>39</v>
      </c>
      <c r="C21" t="s">
        <v>37</v>
      </c>
      <c r="D21" s="6">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6">
        <v>40000</v>
      </c>
      <c r="E22">
        <v>0</v>
      </c>
      <c r="F22" t="s">
        <v>31</v>
      </c>
      <c r="G22" t="s">
        <v>20</v>
      </c>
      <c r="H22" t="s">
        <v>15</v>
      </c>
      <c r="I22">
        <v>0</v>
      </c>
      <c r="J22" t="s">
        <v>16</v>
      </c>
      <c r="K22" t="s">
        <v>17</v>
      </c>
      <c r="L22">
        <v>36</v>
      </c>
      <c r="M22" t="str">
        <f t="shared" si="0"/>
        <v>Middle Age</v>
      </c>
      <c r="N22" t="s">
        <v>15</v>
      </c>
    </row>
    <row r="23" spans="1:14" x14ac:dyDescent="0.3">
      <c r="A23">
        <v>21564</v>
      </c>
      <c r="B23" t="s">
        <v>39</v>
      </c>
      <c r="C23" t="s">
        <v>38</v>
      </c>
      <c r="D23" s="6">
        <v>80000</v>
      </c>
      <c r="E23">
        <v>0</v>
      </c>
      <c r="F23" t="s">
        <v>13</v>
      </c>
      <c r="G23" t="s">
        <v>21</v>
      </c>
      <c r="H23" t="s">
        <v>15</v>
      </c>
      <c r="I23">
        <v>4</v>
      </c>
      <c r="J23" t="s">
        <v>46</v>
      </c>
      <c r="K23" t="s">
        <v>24</v>
      </c>
      <c r="L23">
        <v>35</v>
      </c>
      <c r="M23" t="str">
        <f t="shared" si="0"/>
        <v>Middle Age</v>
      </c>
      <c r="N23" t="s">
        <v>18</v>
      </c>
    </row>
    <row r="24" spans="1:14" x14ac:dyDescent="0.3">
      <c r="A24">
        <v>19193</v>
      </c>
      <c r="B24" t="s">
        <v>39</v>
      </c>
      <c r="C24" t="s">
        <v>37</v>
      </c>
      <c r="D24" s="6">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6">
        <v>80000</v>
      </c>
      <c r="E25">
        <v>5</v>
      </c>
      <c r="F25" t="s">
        <v>27</v>
      </c>
      <c r="G25" t="s">
        <v>28</v>
      </c>
      <c r="H25" t="s">
        <v>18</v>
      </c>
      <c r="I25">
        <v>3</v>
      </c>
      <c r="J25" t="s">
        <v>23</v>
      </c>
      <c r="K25" t="s">
        <v>17</v>
      </c>
      <c r="L25">
        <v>56</v>
      </c>
      <c r="M25" t="str">
        <f t="shared" si="0"/>
        <v>Old</v>
      </c>
      <c r="N25" t="s">
        <v>18</v>
      </c>
    </row>
    <row r="26" spans="1:14" x14ac:dyDescent="0.3">
      <c r="A26">
        <v>27184</v>
      </c>
      <c r="B26" t="s">
        <v>39</v>
      </c>
      <c r="C26" t="s">
        <v>37</v>
      </c>
      <c r="D26" s="6">
        <v>40000</v>
      </c>
      <c r="E26">
        <v>2</v>
      </c>
      <c r="F26" t="s">
        <v>19</v>
      </c>
      <c r="G26" t="s">
        <v>20</v>
      </c>
      <c r="H26" t="s">
        <v>18</v>
      </c>
      <c r="I26">
        <v>1</v>
      </c>
      <c r="J26" t="s">
        <v>16</v>
      </c>
      <c r="K26" t="s">
        <v>17</v>
      </c>
      <c r="L26">
        <v>34</v>
      </c>
      <c r="M26" t="str">
        <f t="shared" si="0"/>
        <v>Middle Age</v>
      </c>
      <c r="N26" t="s">
        <v>18</v>
      </c>
    </row>
    <row r="27" spans="1:14" x14ac:dyDescent="0.3">
      <c r="A27">
        <v>12590</v>
      </c>
      <c r="B27" t="s">
        <v>39</v>
      </c>
      <c r="C27" t="s">
        <v>37</v>
      </c>
      <c r="D27" s="6">
        <v>30000</v>
      </c>
      <c r="E27">
        <v>1</v>
      </c>
      <c r="F27" t="s">
        <v>13</v>
      </c>
      <c r="G27" t="s">
        <v>20</v>
      </c>
      <c r="H27" t="s">
        <v>15</v>
      </c>
      <c r="I27">
        <v>0</v>
      </c>
      <c r="J27" t="s">
        <v>16</v>
      </c>
      <c r="K27" t="s">
        <v>17</v>
      </c>
      <c r="L27">
        <v>63</v>
      </c>
      <c r="M27" t="str">
        <f t="shared" si="0"/>
        <v>Old</v>
      </c>
      <c r="N27" t="s">
        <v>18</v>
      </c>
    </row>
    <row r="28" spans="1:14" x14ac:dyDescent="0.3">
      <c r="A28">
        <v>17841</v>
      </c>
      <c r="B28" t="s">
        <v>39</v>
      </c>
      <c r="C28" t="s">
        <v>37</v>
      </c>
      <c r="D28" s="6">
        <v>30000</v>
      </c>
      <c r="E28">
        <v>0</v>
      </c>
      <c r="F28" t="s">
        <v>19</v>
      </c>
      <c r="G28" t="s">
        <v>20</v>
      </c>
      <c r="H28" t="s">
        <v>18</v>
      </c>
      <c r="I28">
        <v>1</v>
      </c>
      <c r="J28" t="s">
        <v>16</v>
      </c>
      <c r="K28" t="s">
        <v>17</v>
      </c>
      <c r="L28">
        <v>29</v>
      </c>
      <c r="M28" t="str">
        <f t="shared" si="0"/>
        <v>Adolescent</v>
      </c>
      <c r="N28" t="s">
        <v>15</v>
      </c>
    </row>
    <row r="29" spans="1:14" x14ac:dyDescent="0.3">
      <c r="A29">
        <v>18283</v>
      </c>
      <c r="B29" t="s">
        <v>39</v>
      </c>
      <c r="C29" t="s">
        <v>38</v>
      </c>
      <c r="D29" s="6">
        <v>100000</v>
      </c>
      <c r="E29">
        <v>0</v>
      </c>
      <c r="F29" t="s">
        <v>13</v>
      </c>
      <c r="G29" t="s">
        <v>21</v>
      </c>
      <c r="H29" t="s">
        <v>18</v>
      </c>
      <c r="I29">
        <v>1</v>
      </c>
      <c r="J29" t="s">
        <v>23</v>
      </c>
      <c r="K29" t="s">
        <v>24</v>
      </c>
      <c r="L29">
        <v>40</v>
      </c>
      <c r="M29" t="str">
        <f t="shared" si="0"/>
        <v>Middle Age</v>
      </c>
      <c r="N29" t="s">
        <v>18</v>
      </c>
    </row>
    <row r="30" spans="1:14" x14ac:dyDescent="0.3">
      <c r="A30">
        <v>18299</v>
      </c>
      <c r="B30" t="s">
        <v>36</v>
      </c>
      <c r="C30" t="s">
        <v>37</v>
      </c>
      <c r="D30" s="6">
        <v>70000</v>
      </c>
      <c r="E30">
        <v>5</v>
      </c>
      <c r="F30" t="s">
        <v>19</v>
      </c>
      <c r="G30" t="s">
        <v>14</v>
      </c>
      <c r="H30" t="s">
        <v>15</v>
      </c>
      <c r="I30">
        <v>2</v>
      </c>
      <c r="J30" t="s">
        <v>23</v>
      </c>
      <c r="K30" t="s">
        <v>24</v>
      </c>
      <c r="L30">
        <v>44</v>
      </c>
      <c r="M30" t="str">
        <f t="shared" si="0"/>
        <v>Middle Age</v>
      </c>
      <c r="N30" t="s">
        <v>18</v>
      </c>
    </row>
    <row r="31" spans="1:14" x14ac:dyDescent="0.3">
      <c r="A31">
        <v>16466</v>
      </c>
      <c r="B31" t="s">
        <v>39</v>
      </c>
      <c r="C31" t="s">
        <v>38</v>
      </c>
      <c r="D31" s="6">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6">
        <v>20000</v>
      </c>
      <c r="E32">
        <v>2</v>
      </c>
      <c r="F32" t="s">
        <v>19</v>
      </c>
      <c r="G32" t="s">
        <v>25</v>
      </c>
      <c r="H32" t="s">
        <v>15</v>
      </c>
      <c r="I32">
        <v>0</v>
      </c>
      <c r="J32" t="s">
        <v>16</v>
      </c>
      <c r="K32" t="s">
        <v>17</v>
      </c>
      <c r="L32">
        <v>63</v>
      </c>
      <c r="M32" t="str">
        <f t="shared" si="0"/>
        <v>Old</v>
      </c>
      <c r="N32" t="s">
        <v>18</v>
      </c>
    </row>
    <row r="33" spans="1:14" x14ac:dyDescent="0.3">
      <c r="A33">
        <v>22400</v>
      </c>
      <c r="B33" t="s">
        <v>36</v>
      </c>
      <c r="C33" t="s">
        <v>37</v>
      </c>
      <c r="D33" s="6">
        <v>10000</v>
      </c>
      <c r="E33">
        <v>0</v>
      </c>
      <c r="F33" t="s">
        <v>19</v>
      </c>
      <c r="G33" t="s">
        <v>25</v>
      </c>
      <c r="H33" t="s">
        <v>18</v>
      </c>
      <c r="I33">
        <v>1</v>
      </c>
      <c r="J33" t="s">
        <v>16</v>
      </c>
      <c r="K33" t="s">
        <v>24</v>
      </c>
      <c r="L33">
        <v>26</v>
      </c>
      <c r="M33" t="str">
        <f t="shared" si="0"/>
        <v>Adolescent</v>
      </c>
      <c r="N33" t="s">
        <v>15</v>
      </c>
    </row>
    <row r="34" spans="1:14" x14ac:dyDescent="0.3">
      <c r="A34">
        <v>20942</v>
      </c>
      <c r="B34" t="s">
        <v>39</v>
      </c>
      <c r="C34" t="s">
        <v>38</v>
      </c>
      <c r="D34" s="6">
        <v>20000</v>
      </c>
      <c r="E34">
        <v>0</v>
      </c>
      <c r="F34" t="s">
        <v>27</v>
      </c>
      <c r="G34" t="s">
        <v>25</v>
      </c>
      <c r="H34" t="s">
        <v>18</v>
      </c>
      <c r="I34">
        <v>1</v>
      </c>
      <c r="J34" t="s">
        <v>23</v>
      </c>
      <c r="K34" t="s">
        <v>17</v>
      </c>
      <c r="L34">
        <v>31</v>
      </c>
      <c r="M34" t="str">
        <f t="shared" si="0"/>
        <v>Middle Age</v>
      </c>
      <c r="N34" t="s">
        <v>18</v>
      </c>
    </row>
    <row r="35" spans="1:14" x14ac:dyDescent="0.3">
      <c r="A35">
        <v>18484</v>
      </c>
      <c r="B35" t="s">
        <v>39</v>
      </c>
      <c r="C35" t="s">
        <v>37</v>
      </c>
      <c r="D35" s="6">
        <v>80000</v>
      </c>
      <c r="E35">
        <v>2</v>
      </c>
      <c r="F35" t="s">
        <v>27</v>
      </c>
      <c r="G35" t="s">
        <v>14</v>
      </c>
      <c r="H35" t="s">
        <v>18</v>
      </c>
      <c r="I35">
        <v>2</v>
      </c>
      <c r="J35" t="s">
        <v>26</v>
      </c>
      <c r="K35" t="s">
        <v>24</v>
      </c>
      <c r="L35">
        <v>50</v>
      </c>
      <c r="M35" t="str">
        <f t="shared" si="0"/>
        <v>Old</v>
      </c>
      <c r="N35" t="s">
        <v>15</v>
      </c>
    </row>
    <row r="36" spans="1:14" x14ac:dyDescent="0.3">
      <c r="A36">
        <v>12291</v>
      </c>
      <c r="B36" t="s">
        <v>39</v>
      </c>
      <c r="C36" t="s">
        <v>37</v>
      </c>
      <c r="D36" s="6">
        <v>90000</v>
      </c>
      <c r="E36">
        <v>5</v>
      </c>
      <c r="F36" t="s">
        <v>19</v>
      </c>
      <c r="G36" t="s">
        <v>21</v>
      </c>
      <c r="H36" t="s">
        <v>18</v>
      </c>
      <c r="I36">
        <v>2</v>
      </c>
      <c r="J36" t="s">
        <v>22</v>
      </c>
      <c r="K36" t="s">
        <v>17</v>
      </c>
      <c r="L36">
        <v>62</v>
      </c>
      <c r="M36" t="str">
        <f t="shared" si="0"/>
        <v>Old</v>
      </c>
      <c r="N36" t="s">
        <v>15</v>
      </c>
    </row>
    <row r="37" spans="1:14" x14ac:dyDescent="0.3">
      <c r="A37">
        <v>28380</v>
      </c>
      <c r="B37" t="s">
        <v>39</v>
      </c>
      <c r="C37" t="s">
        <v>38</v>
      </c>
      <c r="D37" s="6">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6">
        <v>10000</v>
      </c>
      <c r="E38">
        <v>2</v>
      </c>
      <c r="F38" t="s">
        <v>19</v>
      </c>
      <c r="G38" t="s">
        <v>25</v>
      </c>
      <c r="H38" t="s">
        <v>15</v>
      </c>
      <c r="I38">
        <v>1</v>
      </c>
      <c r="J38" t="s">
        <v>16</v>
      </c>
      <c r="K38" t="s">
        <v>17</v>
      </c>
      <c r="L38">
        <v>50</v>
      </c>
      <c r="M38" t="str">
        <f t="shared" si="0"/>
        <v>Old</v>
      </c>
      <c r="N38" t="s">
        <v>15</v>
      </c>
    </row>
    <row r="39" spans="1:14" x14ac:dyDescent="0.3">
      <c r="A39">
        <v>27832</v>
      </c>
      <c r="B39" t="s">
        <v>39</v>
      </c>
      <c r="C39" t="s">
        <v>38</v>
      </c>
      <c r="D39" s="6">
        <v>30000</v>
      </c>
      <c r="E39">
        <v>0</v>
      </c>
      <c r="F39" t="s">
        <v>19</v>
      </c>
      <c r="G39" t="s">
        <v>20</v>
      </c>
      <c r="H39" t="s">
        <v>18</v>
      </c>
      <c r="I39">
        <v>1</v>
      </c>
      <c r="J39" t="s">
        <v>22</v>
      </c>
      <c r="K39" t="s">
        <v>17</v>
      </c>
      <c r="L39">
        <v>30</v>
      </c>
      <c r="M39" t="str">
        <f t="shared" si="0"/>
        <v>Adolescent</v>
      </c>
      <c r="N39" t="s">
        <v>18</v>
      </c>
    </row>
    <row r="40" spans="1:14" x14ac:dyDescent="0.3">
      <c r="A40">
        <v>26863</v>
      </c>
      <c r="B40" t="s">
        <v>39</v>
      </c>
      <c r="C40" t="s">
        <v>37</v>
      </c>
      <c r="D40" s="6">
        <v>20000</v>
      </c>
      <c r="E40">
        <v>0</v>
      </c>
      <c r="F40" t="s">
        <v>27</v>
      </c>
      <c r="G40" t="s">
        <v>25</v>
      </c>
      <c r="H40" t="s">
        <v>18</v>
      </c>
      <c r="I40">
        <v>1</v>
      </c>
      <c r="J40" t="s">
        <v>22</v>
      </c>
      <c r="K40" t="s">
        <v>17</v>
      </c>
      <c r="L40">
        <v>28</v>
      </c>
      <c r="M40" t="str">
        <f t="shared" si="0"/>
        <v>Adolescent</v>
      </c>
      <c r="N40" t="s">
        <v>18</v>
      </c>
    </row>
    <row r="41" spans="1:14" x14ac:dyDescent="0.3">
      <c r="A41">
        <v>16259</v>
      </c>
      <c r="B41" t="s">
        <v>39</v>
      </c>
      <c r="C41" t="s">
        <v>38</v>
      </c>
      <c r="D41" s="6">
        <v>10000</v>
      </c>
      <c r="E41">
        <v>4</v>
      </c>
      <c r="F41" t="s">
        <v>29</v>
      </c>
      <c r="G41" t="s">
        <v>25</v>
      </c>
      <c r="H41" t="s">
        <v>15</v>
      </c>
      <c r="I41">
        <v>2</v>
      </c>
      <c r="J41" t="s">
        <v>16</v>
      </c>
      <c r="K41" t="s">
        <v>17</v>
      </c>
      <c r="L41">
        <v>40</v>
      </c>
      <c r="M41" t="str">
        <f t="shared" si="0"/>
        <v>Middle Age</v>
      </c>
      <c r="N41" t="s">
        <v>15</v>
      </c>
    </row>
    <row r="42" spans="1:14" x14ac:dyDescent="0.3">
      <c r="A42">
        <v>27803</v>
      </c>
      <c r="B42" t="s">
        <v>39</v>
      </c>
      <c r="C42" t="s">
        <v>38</v>
      </c>
      <c r="D42" s="6">
        <v>30000</v>
      </c>
      <c r="E42">
        <v>2</v>
      </c>
      <c r="F42" t="s">
        <v>19</v>
      </c>
      <c r="G42" t="s">
        <v>20</v>
      </c>
      <c r="H42" t="s">
        <v>18</v>
      </c>
      <c r="I42">
        <v>0</v>
      </c>
      <c r="J42" t="s">
        <v>16</v>
      </c>
      <c r="K42" t="s">
        <v>17</v>
      </c>
      <c r="L42">
        <v>43</v>
      </c>
      <c r="M42" t="str">
        <f t="shared" si="0"/>
        <v>Middle Age</v>
      </c>
      <c r="N42" t="s">
        <v>18</v>
      </c>
    </row>
    <row r="43" spans="1:14" x14ac:dyDescent="0.3">
      <c r="A43">
        <v>14347</v>
      </c>
      <c r="B43" t="s">
        <v>39</v>
      </c>
      <c r="C43" t="s">
        <v>38</v>
      </c>
      <c r="D43" s="6">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6">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6">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6">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6">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6">
        <v>60000</v>
      </c>
      <c r="E48">
        <v>1</v>
      </c>
      <c r="F48" t="s">
        <v>19</v>
      </c>
      <c r="G48" t="s">
        <v>14</v>
      </c>
      <c r="H48" t="s">
        <v>15</v>
      </c>
      <c r="I48">
        <v>1</v>
      </c>
      <c r="J48" t="s">
        <v>23</v>
      </c>
      <c r="K48" t="s">
        <v>24</v>
      </c>
      <c r="L48">
        <v>46</v>
      </c>
      <c r="M48" t="str">
        <f t="shared" si="0"/>
        <v>Middle Age</v>
      </c>
      <c r="N48" t="s">
        <v>15</v>
      </c>
    </row>
    <row r="49" spans="1:14" x14ac:dyDescent="0.3">
      <c r="A49">
        <v>29097</v>
      </c>
      <c r="B49" t="s">
        <v>39</v>
      </c>
      <c r="C49" t="s">
        <v>38</v>
      </c>
      <c r="D49" s="6">
        <v>40000</v>
      </c>
      <c r="E49">
        <v>2</v>
      </c>
      <c r="F49" t="s">
        <v>19</v>
      </c>
      <c r="G49" t="s">
        <v>14</v>
      </c>
      <c r="H49" t="s">
        <v>15</v>
      </c>
      <c r="I49">
        <v>2</v>
      </c>
      <c r="J49" t="s">
        <v>23</v>
      </c>
      <c r="K49" t="s">
        <v>24</v>
      </c>
      <c r="L49">
        <v>52</v>
      </c>
      <c r="M49" t="str">
        <f t="shared" si="0"/>
        <v>Old</v>
      </c>
      <c r="N49" t="s">
        <v>15</v>
      </c>
    </row>
    <row r="50" spans="1:14" x14ac:dyDescent="0.3">
      <c r="A50">
        <v>19487</v>
      </c>
      <c r="B50" t="s">
        <v>36</v>
      </c>
      <c r="C50" t="s">
        <v>37</v>
      </c>
      <c r="D50" s="6">
        <v>30000</v>
      </c>
      <c r="E50">
        <v>2</v>
      </c>
      <c r="F50" t="s">
        <v>19</v>
      </c>
      <c r="G50" t="s">
        <v>20</v>
      </c>
      <c r="H50" t="s">
        <v>18</v>
      </c>
      <c r="I50">
        <v>2</v>
      </c>
      <c r="J50" t="s">
        <v>16</v>
      </c>
      <c r="K50" t="s">
        <v>17</v>
      </c>
      <c r="L50">
        <v>42</v>
      </c>
      <c r="M50" t="str">
        <f t="shared" si="0"/>
        <v>Middle Age</v>
      </c>
      <c r="N50" t="s">
        <v>18</v>
      </c>
    </row>
    <row r="51" spans="1:14" x14ac:dyDescent="0.3">
      <c r="A51">
        <v>14939</v>
      </c>
      <c r="B51" t="s">
        <v>39</v>
      </c>
      <c r="C51" t="s">
        <v>37</v>
      </c>
      <c r="D51" s="6">
        <v>40000</v>
      </c>
      <c r="E51">
        <v>0</v>
      </c>
      <c r="F51" t="s">
        <v>13</v>
      </c>
      <c r="G51" t="s">
        <v>20</v>
      </c>
      <c r="H51" t="s">
        <v>15</v>
      </c>
      <c r="I51">
        <v>0</v>
      </c>
      <c r="J51" t="s">
        <v>16</v>
      </c>
      <c r="K51" t="s">
        <v>17</v>
      </c>
      <c r="L51">
        <v>39</v>
      </c>
      <c r="M51" t="str">
        <f t="shared" si="0"/>
        <v>Middle Age</v>
      </c>
      <c r="N51" t="s">
        <v>15</v>
      </c>
    </row>
    <row r="52" spans="1:14" x14ac:dyDescent="0.3">
      <c r="A52">
        <v>13826</v>
      </c>
      <c r="B52" t="s">
        <v>39</v>
      </c>
      <c r="C52" t="s">
        <v>38</v>
      </c>
      <c r="D52" s="6">
        <v>30000</v>
      </c>
      <c r="E52">
        <v>0</v>
      </c>
      <c r="F52" t="s">
        <v>19</v>
      </c>
      <c r="G52" t="s">
        <v>20</v>
      </c>
      <c r="H52" t="s">
        <v>18</v>
      </c>
      <c r="I52">
        <v>1</v>
      </c>
      <c r="J52" t="s">
        <v>16</v>
      </c>
      <c r="K52" t="s">
        <v>17</v>
      </c>
      <c r="L52">
        <v>28</v>
      </c>
      <c r="M52" t="str">
        <f t="shared" si="0"/>
        <v>Adolescent</v>
      </c>
      <c r="N52" t="s">
        <v>18</v>
      </c>
    </row>
    <row r="53" spans="1:14" x14ac:dyDescent="0.3">
      <c r="A53">
        <v>20619</v>
      </c>
      <c r="B53" t="s">
        <v>39</v>
      </c>
      <c r="C53" t="s">
        <v>37</v>
      </c>
      <c r="D53" s="6">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6">
        <v>20000</v>
      </c>
      <c r="E54">
        <v>1</v>
      </c>
      <c r="F54" t="s">
        <v>13</v>
      </c>
      <c r="G54" t="s">
        <v>20</v>
      </c>
      <c r="H54" t="s">
        <v>15</v>
      </c>
      <c r="I54">
        <v>0</v>
      </c>
      <c r="J54" t="s">
        <v>16</v>
      </c>
      <c r="K54" t="s">
        <v>17</v>
      </c>
      <c r="L54">
        <v>65</v>
      </c>
      <c r="M54" t="str">
        <f t="shared" si="0"/>
        <v>Old</v>
      </c>
      <c r="N54" t="s">
        <v>18</v>
      </c>
    </row>
    <row r="55" spans="1:14" x14ac:dyDescent="0.3">
      <c r="A55">
        <v>24871</v>
      </c>
      <c r="B55" t="s">
        <v>39</v>
      </c>
      <c r="C55" t="s">
        <v>38</v>
      </c>
      <c r="D55" s="6">
        <v>90000</v>
      </c>
      <c r="E55">
        <v>4</v>
      </c>
      <c r="F55" t="s">
        <v>27</v>
      </c>
      <c r="G55" t="s">
        <v>28</v>
      </c>
      <c r="H55" t="s">
        <v>18</v>
      </c>
      <c r="I55">
        <v>3</v>
      </c>
      <c r="J55" t="s">
        <v>23</v>
      </c>
      <c r="K55" t="s">
        <v>17</v>
      </c>
      <c r="L55">
        <v>56</v>
      </c>
      <c r="M55" t="str">
        <f t="shared" si="0"/>
        <v>Old</v>
      </c>
      <c r="N55" t="s">
        <v>18</v>
      </c>
    </row>
    <row r="56" spans="1:14" x14ac:dyDescent="0.3">
      <c r="A56">
        <v>17319</v>
      </c>
      <c r="B56" t="s">
        <v>39</v>
      </c>
      <c r="C56" t="s">
        <v>38</v>
      </c>
      <c r="D56" s="6">
        <v>70000</v>
      </c>
      <c r="E56">
        <v>0</v>
      </c>
      <c r="F56" t="s">
        <v>13</v>
      </c>
      <c r="G56" t="s">
        <v>21</v>
      </c>
      <c r="H56" t="s">
        <v>18</v>
      </c>
      <c r="I56">
        <v>1</v>
      </c>
      <c r="J56" t="s">
        <v>23</v>
      </c>
      <c r="K56" t="s">
        <v>24</v>
      </c>
      <c r="L56">
        <v>42</v>
      </c>
      <c r="M56" t="str">
        <f t="shared" si="0"/>
        <v>Middle Age</v>
      </c>
      <c r="N56" t="s">
        <v>18</v>
      </c>
    </row>
    <row r="57" spans="1:14" x14ac:dyDescent="0.3">
      <c r="A57">
        <v>28906</v>
      </c>
      <c r="B57" t="s">
        <v>36</v>
      </c>
      <c r="C57" t="s">
        <v>37</v>
      </c>
      <c r="D57" s="6">
        <v>80000</v>
      </c>
      <c r="E57">
        <v>4</v>
      </c>
      <c r="F57" t="s">
        <v>27</v>
      </c>
      <c r="G57" t="s">
        <v>21</v>
      </c>
      <c r="H57" t="s">
        <v>15</v>
      </c>
      <c r="I57">
        <v>2</v>
      </c>
      <c r="J57" t="s">
        <v>46</v>
      </c>
      <c r="K57" t="s">
        <v>17</v>
      </c>
      <c r="L57">
        <v>54</v>
      </c>
      <c r="M57" t="str">
        <f t="shared" si="0"/>
        <v>Old</v>
      </c>
      <c r="N57" t="s">
        <v>18</v>
      </c>
    </row>
    <row r="58" spans="1:14" x14ac:dyDescent="0.3">
      <c r="A58">
        <v>12808</v>
      </c>
      <c r="B58" t="s">
        <v>36</v>
      </c>
      <c r="C58" t="s">
        <v>37</v>
      </c>
      <c r="D58" s="6">
        <v>40000</v>
      </c>
      <c r="E58">
        <v>0</v>
      </c>
      <c r="F58" t="s">
        <v>13</v>
      </c>
      <c r="G58" t="s">
        <v>20</v>
      </c>
      <c r="H58" t="s">
        <v>15</v>
      </c>
      <c r="I58">
        <v>0</v>
      </c>
      <c r="J58" t="s">
        <v>16</v>
      </c>
      <c r="K58" t="s">
        <v>17</v>
      </c>
      <c r="L58">
        <v>38</v>
      </c>
      <c r="M58" t="str">
        <f t="shared" si="0"/>
        <v>Middle Age</v>
      </c>
      <c r="N58" t="s">
        <v>15</v>
      </c>
    </row>
    <row r="59" spans="1:14" x14ac:dyDescent="0.3">
      <c r="A59">
        <v>20567</v>
      </c>
      <c r="B59" t="s">
        <v>36</v>
      </c>
      <c r="C59" t="s">
        <v>37</v>
      </c>
      <c r="D59" s="6">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6">
        <v>40000</v>
      </c>
      <c r="E60">
        <v>1</v>
      </c>
      <c r="F60" t="s">
        <v>13</v>
      </c>
      <c r="G60" t="s">
        <v>14</v>
      </c>
      <c r="H60" t="s">
        <v>15</v>
      </c>
      <c r="I60">
        <v>0</v>
      </c>
      <c r="J60" t="s">
        <v>16</v>
      </c>
      <c r="K60" t="s">
        <v>17</v>
      </c>
      <c r="L60">
        <v>43</v>
      </c>
      <c r="M60" t="str">
        <f t="shared" si="0"/>
        <v>Middle Age</v>
      </c>
      <c r="N60" t="s">
        <v>15</v>
      </c>
    </row>
    <row r="61" spans="1:14" x14ac:dyDescent="0.3">
      <c r="A61">
        <v>15580</v>
      </c>
      <c r="B61" t="s">
        <v>36</v>
      </c>
      <c r="C61" t="s">
        <v>37</v>
      </c>
      <c r="D61" s="6">
        <v>60000</v>
      </c>
      <c r="E61">
        <v>2</v>
      </c>
      <c r="F61" t="s">
        <v>13</v>
      </c>
      <c r="G61" t="s">
        <v>21</v>
      </c>
      <c r="H61" t="s">
        <v>15</v>
      </c>
      <c r="I61">
        <v>1</v>
      </c>
      <c r="J61" t="s">
        <v>22</v>
      </c>
      <c r="K61" t="s">
        <v>24</v>
      </c>
      <c r="L61">
        <v>38</v>
      </c>
      <c r="M61" t="str">
        <f t="shared" si="0"/>
        <v>Middle Age</v>
      </c>
      <c r="N61" t="s">
        <v>15</v>
      </c>
    </row>
    <row r="62" spans="1:14" x14ac:dyDescent="0.3">
      <c r="A62">
        <v>24185</v>
      </c>
      <c r="B62" t="s">
        <v>39</v>
      </c>
      <c r="C62" t="s">
        <v>38</v>
      </c>
      <c r="D62" s="6">
        <v>10000</v>
      </c>
      <c r="E62">
        <v>1</v>
      </c>
      <c r="F62" t="s">
        <v>27</v>
      </c>
      <c r="G62" t="s">
        <v>25</v>
      </c>
      <c r="H62" t="s">
        <v>18</v>
      </c>
      <c r="I62">
        <v>1</v>
      </c>
      <c r="J62" t="s">
        <v>26</v>
      </c>
      <c r="K62" t="s">
        <v>17</v>
      </c>
      <c r="L62">
        <v>45</v>
      </c>
      <c r="M62" t="str">
        <f t="shared" si="0"/>
        <v>Middle Age</v>
      </c>
      <c r="N62" t="s">
        <v>18</v>
      </c>
    </row>
    <row r="63" spans="1:14" x14ac:dyDescent="0.3">
      <c r="A63">
        <v>19291</v>
      </c>
      <c r="B63" t="s">
        <v>39</v>
      </c>
      <c r="C63" t="s">
        <v>38</v>
      </c>
      <c r="D63" s="6">
        <v>10000</v>
      </c>
      <c r="E63">
        <v>2</v>
      </c>
      <c r="F63" t="s">
        <v>27</v>
      </c>
      <c r="G63" t="s">
        <v>25</v>
      </c>
      <c r="H63" t="s">
        <v>15</v>
      </c>
      <c r="I63">
        <v>0</v>
      </c>
      <c r="J63" t="s">
        <v>16</v>
      </c>
      <c r="K63" t="s">
        <v>17</v>
      </c>
      <c r="L63">
        <v>35</v>
      </c>
      <c r="M63" t="str">
        <f t="shared" si="0"/>
        <v>Middle Age</v>
      </c>
      <c r="N63" t="s">
        <v>18</v>
      </c>
    </row>
    <row r="64" spans="1:14" x14ac:dyDescent="0.3">
      <c r="A64">
        <v>16713</v>
      </c>
      <c r="B64" t="s">
        <v>36</v>
      </c>
      <c r="C64" t="s">
        <v>37</v>
      </c>
      <c r="D64" s="6">
        <v>40000</v>
      </c>
      <c r="E64">
        <v>2</v>
      </c>
      <c r="F64" t="s">
        <v>13</v>
      </c>
      <c r="G64" t="s">
        <v>28</v>
      </c>
      <c r="H64" t="s">
        <v>15</v>
      </c>
      <c r="I64">
        <v>1</v>
      </c>
      <c r="J64" t="s">
        <v>16</v>
      </c>
      <c r="K64" t="s">
        <v>24</v>
      </c>
      <c r="L64">
        <v>52</v>
      </c>
      <c r="M64" t="str">
        <f t="shared" si="0"/>
        <v>Old</v>
      </c>
      <c r="N64" t="s">
        <v>15</v>
      </c>
    </row>
    <row r="65" spans="1:14" x14ac:dyDescent="0.3">
      <c r="A65">
        <v>16185</v>
      </c>
      <c r="B65" t="s">
        <v>39</v>
      </c>
      <c r="C65" t="s">
        <v>37</v>
      </c>
      <c r="D65" s="6">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6">
        <v>30000</v>
      </c>
      <c r="E66">
        <v>1</v>
      </c>
      <c r="F66" t="s">
        <v>13</v>
      </c>
      <c r="G66" t="s">
        <v>20</v>
      </c>
      <c r="H66" t="s">
        <v>15</v>
      </c>
      <c r="I66">
        <v>0</v>
      </c>
      <c r="J66" t="s">
        <v>16</v>
      </c>
      <c r="K66" t="s">
        <v>17</v>
      </c>
      <c r="L66">
        <v>37</v>
      </c>
      <c r="M66" t="str">
        <f t="shared" ref="M66:M129" si="1">IF(L66&gt;=50,"Old",IF(L66&gt;=31,"Middle Age",IF(L66&lt;31,"Adolescent","Invalid")))</f>
        <v>Middle Age</v>
      </c>
      <c r="N66" t="s">
        <v>15</v>
      </c>
    </row>
    <row r="67" spans="1:14" x14ac:dyDescent="0.3">
      <c r="A67">
        <v>29337</v>
      </c>
      <c r="B67" t="s">
        <v>39</v>
      </c>
      <c r="C67" t="s">
        <v>37</v>
      </c>
      <c r="D67" s="6">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6">
        <v>40000</v>
      </c>
      <c r="E68">
        <v>0</v>
      </c>
      <c r="F68" t="s">
        <v>31</v>
      </c>
      <c r="G68" t="s">
        <v>20</v>
      </c>
      <c r="H68" t="s">
        <v>15</v>
      </c>
      <c r="I68">
        <v>0</v>
      </c>
      <c r="J68" t="s">
        <v>16</v>
      </c>
      <c r="K68" t="s">
        <v>17</v>
      </c>
      <c r="L68">
        <v>37</v>
      </c>
      <c r="M68" t="str">
        <f t="shared" si="1"/>
        <v>Middle Age</v>
      </c>
      <c r="N68" t="s">
        <v>15</v>
      </c>
    </row>
    <row r="69" spans="1:14" x14ac:dyDescent="0.3">
      <c r="A69">
        <v>25303</v>
      </c>
      <c r="B69" t="s">
        <v>39</v>
      </c>
      <c r="C69" t="s">
        <v>37</v>
      </c>
      <c r="D69" s="6">
        <v>30000</v>
      </c>
      <c r="E69">
        <v>0</v>
      </c>
      <c r="F69" t="s">
        <v>27</v>
      </c>
      <c r="G69" t="s">
        <v>25</v>
      </c>
      <c r="H69" t="s">
        <v>15</v>
      </c>
      <c r="I69">
        <v>1</v>
      </c>
      <c r="J69" t="s">
        <v>22</v>
      </c>
      <c r="K69" t="s">
        <v>17</v>
      </c>
      <c r="L69">
        <v>33</v>
      </c>
      <c r="M69" t="str">
        <f t="shared" si="1"/>
        <v>Middle Age</v>
      </c>
      <c r="N69" t="s">
        <v>15</v>
      </c>
    </row>
    <row r="70" spans="1:14" x14ac:dyDescent="0.3">
      <c r="A70">
        <v>14813</v>
      </c>
      <c r="B70" t="s">
        <v>39</v>
      </c>
      <c r="C70" t="s">
        <v>38</v>
      </c>
      <c r="D70" s="6">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6">
        <v>10000</v>
      </c>
      <c r="E71">
        <v>0</v>
      </c>
      <c r="F71" t="s">
        <v>29</v>
      </c>
      <c r="G71" t="s">
        <v>25</v>
      </c>
      <c r="H71" t="s">
        <v>18</v>
      </c>
      <c r="I71">
        <v>2</v>
      </c>
      <c r="J71" t="s">
        <v>16</v>
      </c>
      <c r="K71" t="s">
        <v>17</v>
      </c>
      <c r="L71">
        <v>30</v>
      </c>
      <c r="M71" t="str">
        <f t="shared" si="1"/>
        <v>Adolescent</v>
      </c>
      <c r="N71" t="s">
        <v>18</v>
      </c>
    </row>
    <row r="72" spans="1:14" x14ac:dyDescent="0.3">
      <c r="A72">
        <v>14238</v>
      </c>
      <c r="B72" t="s">
        <v>36</v>
      </c>
      <c r="C72" t="s">
        <v>37</v>
      </c>
      <c r="D72" s="6">
        <v>120000</v>
      </c>
      <c r="E72">
        <v>0</v>
      </c>
      <c r="F72" t="s">
        <v>29</v>
      </c>
      <c r="G72" t="s">
        <v>21</v>
      </c>
      <c r="H72" t="s">
        <v>15</v>
      </c>
      <c r="I72">
        <v>4</v>
      </c>
      <c r="J72" t="s">
        <v>46</v>
      </c>
      <c r="K72" t="s">
        <v>24</v>
      </c>
      <c r="L72">
        <v>36</v>
      </c>
      <c r="M72" t="str">
        <f t="shared" si="1"/>
        <v>Middle Age</v>
      </c>
      <c r="N72" t="s">
        <v>15</v>
      </c>
    </row>
    <row r="73" spans="1:14" x14ac:dyDescent="0.3">
      <c r="A73">
        <v>16200</v>
      </c>
      <c r="B73" t="s">
        <v>39</v>
      </c>
      <c r="C73" t="s">
        <v>38</v>
      </c>
      <c r="D73" s="6">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6">
        <v>130000</v>
      </c>
      <c r="E74">
        <v>3</v>
      </c>
      <c r="F74" t="s">
        <v>27</v>
      </c>
      <c r="G74" t="s">
        <v>21</v>
      </c>
      <c r="H74" t="s">
        <v>15</v>
      </c>
      <c r="I74">
        <v>4</v>
      </c>
      <c r="J74" t="s">
        <v>16</v>
      </c>
      <c r="K74" t="s">
        <v>17</v>
      </c>
      <c r="L74">
        <v>52</v>
      </c>
      <c r="M74" t="str">
        <f t="shared" si="1"/>
        <v>Old</v>
      </c>
      <c r="N74" t="s">
        <v>18</v>
      </c>
    </row>
    <row r="75" spans="1:14" x14ac:dyDescent="0.3">
      <c r="A75">
        <v>26956</v>
      </c>
      <c r="B75" t="s">
        <v>39</v>
      </c>
      <c r="C75" t="s">
        <v>38</v>
      </c>
      <c r="D75" s="6">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6">
        <v>20000</v>
      </c>
      <c r="E76">
        <v>3</v>
      </c>
      <c r="F76" t="s">
        <v>27</v>
      </c>
      <c r="G76" t="s">
        <v>14</v>
      </c>
      <c r="H76" t="s">
        <v>18</v>
      </c>
      <c r="I76">
        <v>2</v>
      </c>
      <c r="J76" t="s">
        <v>26</v>
      </c>
      <c r="K76" t="s">
        <v>24</v>
      </c>
      <c r="L76">
        <v>62</v>
      </c>
      <c r="M76" t="str">
        <f t="shared" si="1"/>
        <v>Old</v>
      </c>
      <c r="N76" t="s">
        <v>18</v>
      </c>
    </row>
    <row r="77" spans="1:14" x14ac:dyDescent="0.3">
      <c r="A77">
        <v>12678</v>
      </c>
      <c r="B77" t="s">
        <v>39</v>
      </c>
      <c r="C77" t="s">
        <v>38</v>
      </c>
      <c r="D77" s="6">
        <v>130000</v>
      </c>
      <c r="E77">
        <v>4</v>
      </c>
      <c r="F77" t="s">
        <v>27</v>
      </c>
      <c r="G77" t="s">
        <v>28</v>
      </c>
      <c r="H77" t="s">
        <v>15</v>
      </c>
      <c r="I77">
        <v>4</v>
      </c>
      <c r="J77" t="s">
        <v>16</v>
      </c>
      <c r="K77" t="s">
        <v>24</v>
      </c>
      <c r="L77">
        <v>31</v>
      </c>
      <c r="M77" t="str">
        <f t="shared" si="1"/>
        <v>Middle Age</v>
      </c>
      <c r="N77" t="s">
        <v>18</v>
      </c>
    </row>
    <row r="78" spans="1:14" x14ac:dyDescent="0.3">
      <c r="A78">
        <v>16188</v>
      </c>
      <c r="B78" t="s">
        <v>39</v>
      </c>
      <c r="C78" t="s">
        <v>38</v>
      </c>
      <c r="D78" s="6">
        <v>20000</v>
      </c>
      <c r="E78">
        <v>0</v>
      </c>
      <c r="F78" t="s">
        <v>29</v>
      </c>
      <c r="G78" t="s">
        <v>25</v>
      </c>
      <c r="H78" t="s">
        <v>18</v>
      </c>
      <c r="I78">
        <v>2</v>
      </c>
      <c r="J78" t="s">
        <v>26</v>
      </c>
      <c r="K78" t="s">
        <v>17</v>
      </c>
      <c r="L78">
        <v>26</v>
      </c>
      <c r="M78" t="str">
        <f t="shared" si="1"/>
        <v>Adolescent</v>
      </c>
      <c r="N78" t="s">
        <v>18</v>
      </c>
    </row>
    <row r="79" spans="1:14" x14ac:dyDescent="0.3">
      <c r="A79">
        <v>27969</v>
      </c>
      <c r="B79" t="s">
        <v>36</v>
      </c>
      <c r="C79" t="s">
        <v>37</v>
      </c>
      <c r="D79" s="6">
        <v>80000</v>
      </c>
      <c r="E79">
        <v>0</v>
      </c>
      <c r="F79" t="s">
        <v>13</v>
      </c>
      <c r="G79" t="s">
        <v>21</v>
      </c>
      <c r="H79" t="s">
        <v>15</v>
      </c>
      <c r="I79">
        <v>2</v>
      </c>
      <c r="J79" t="s">
        <v>46</v>
      </c>
      <c r="K79" t="s">
        <v>24</v>
      </c>
      <c r="L79">
        <v>29</v>
      </c>
      <c r="M79" t="str">
        <f t="shared" si="1"/>
        <v>Adolescent</v>
      </c>
      <c r="N79" t="s">
        <v>15</v>
      </c>
    </row>
    <row r="80" spans="1:14" x14ac:dyDescent="0.3">
      <c r="A80">
        <v>15752</v>
      </c>
      <c r="B80" t="s">
        <v>36</v>
      </c>
      <c r="C80" t="s">
        <v>37</v>
      </c>
      <c r="D80" s="6">
        <v>80000</v>
      </c>
      <c r="E80">
        <v>2</v>
      </c>
      <c r="F80" t="s">
        <v>27</v>
      </c>
      <c r="G80" t="s">
        <v>14</v>
      </c>
      <c r="H80" t="s">
        <v>18</v>
      </c>
      <c r="I80">
        <v>2</v>
      </c>
      <c r="J80" t="s">
        <v>26</v>
      </c>
      <c r="K80" t="s">
        <v>24</v>
      </c>
      <c r="L80">
        <v>50</v>
      </c>
      <c r="M80" t="str">
        <f t="shared" si="1"/>
        <v>Old</v>
      </c>
      <c r="N80" t="s">
        <v>15</v>
      </c>
    </row>
    <row r="81" spans="1:14" x14ac:dyDescent="0.3">
      <c r="A81">
        <v>27745</v>
      </c>
      <c r="B81" t="s">
        <v>39</v>
      </c>
      <c r="C81" t="s">
        <v>37</v>
      </c>
      <c r="D81" s="6">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6">
        <v>30000</v>
      </c>
      <c r="E82">
        <v>4</v>
      </c>
      <c r="F82" t="s">
        <v>31</v>
      </c>
      <c r="G82" t="s">
        <v>20</v>
      </c>
      <c r="H82" t="s">
        <v>15</v>
      </c>
      <c r="I82">
        <v>0</v>
      </c>
      <c r="J82" t="s">
        <v>16</v>
      </c>
      <c r="K82" t="s">
        <v>17</v>
      </c>
      <c r="L82">
        <v>45</v>
      </c>
      <c r="M82" t="str">
        <f t="shared" si="1"/>
        <v>Middle Age</v>
      </c>
      <c r="N82" t="s">
        <v>15</v>
      </c>
    </row>
    <row r="83" spans="1:14" x14ac:dyDescent="0.3">
      <c r="A83">
        <v>19461</v>
      </c>
      <c r="B83" t="s">
        <v>39</v>
      </c>
      <c r="C83" t="s">
        <v>38</v>
      </c>
      <c r="D83" s="6">
        <v>10000</v>
      </c>
      <c r="E83">
        <v>4</v>
      </c>
      <c r="F83" t="s">
        <v>29</v>
      </c>
      <c r="G83" t="s">
        <v>25</v>
      </c>
      <c r="H83" t="s">
        <v>15</v>
      </c>
      <c r="I83">
        <v>2</v>
      </c>
      <c r="J83" t="s">
        <v>16</v>
      </c>
      <c r="K83" t="s">
        <v>17</v>
      </c>
      <c r="L83">
        <v>40</v>
      </c>
      <c r="M83" t="str">
        <f t="shared" si="1"/>
        <v>Middle Age</v>
      </c>
      <c r="N83" t="s">
        <v>18</v>
      </c>
    </row>
    <row r="84" spans="1:14" x14ac:dyDescent="0.3">
      <c r="A84">
        <v>26941</v>
      </c>
      <c r="B84" t="s">
        <v>36</v>
      </c>
      <c r="C84" t="s">
        <v>37</v>
      </c>
      <c r="D84" s="6">
        <v>30000</v>
      </c>
      <c r="E84">
        <v>0</v>
      </c>
      <c r="F84" t="s">
        <v>13</v>
      </c>
      <c r="G84" t="s">
        <v>20</v>
      </c>
      <c r="H84" t="s">
        <v>15</v>
      </c>
      <c r="I84">
        <v>0</v>
      </c>
      <c r="J84" t="s">
        <v>16</v>
      </c>
      <c r="K84" t="s">
        <v>17</v>
      </c>
      <c r="L84">
        <v>47</v>
      </c>
      <c r="M84" t="str">
        <f t="shared" si="1"/>
        <v>Middle Age</v>
      </c>
      <c r="N84" t="s">
        <v>15</v>
      </c>
    </row>
    <row r="85" spans="1:14" x14ac:dyDescent="0.3">
      <c r="A85">
        <v>28412</v>
      </c>
      <c r="B85" t="s">
        <v>39</v>
      </c>
      <c r="C85" t="s">
        <v>37</v>
      </c>
      <c r="D85" s="6">
        <v>20000</v>
      </c>
      <c r="E85">
        <v>0</v>
      </c>
      <c r="F85" t="s">
        <v>27</v>
      </c>
      <c r="G85" t="s">
        <v>25</v>
      </c>
      <c r="H85" t="s">
        <v>18</v>
      </c>
      <c r="I85">
        <v>1</v>
      </c>
      <c r="J85" t="s">
        <v>22</v>
      </c>
      <c r="K85" t="s">
        <v>17</v>
      </c>
      <c r="L85">
        <v>29</v>
      </c>
      <c r="M85" t="str">
        <f t="shared" si="1"/>
        <v>Adolescent</v>
      </c>
      <c r="N85" t="s">
        <v>18</v>
      </c>
    </row>
    <row r="86" spans="1:14" x14ac:dyDescent="0.3">
      <c r="A86">
        <v>24485</v>
      </c>
      <c r="B86" t="s">
        <v>39</v>
      </c>
      <c r="C86" t="s">
        <v>37</v>
      </c>
      <c r="D86" s="6">
        <v>40000</v>
      </c>
      <c r="E86">
        <v>2</v>
      </c>
      <c r="F86" t="s">
        <v>13</v>
      </c>
      <c r="G86" t="s">
        <v>28</v>
      </c>
      <c r="H86" t="s">
        <v>18</v>
      </c>
      <c r="I86">
        <v>1</v>
      </c>
      <c r="J86" t="s">
        <v>23</v>
      </c>
      <c r="K86" t="s">
        <v>24</v>
      </c>
      <c r="L86">
        <v>52</v>
      </c>
      <c r="M86" t="str">
        <f t="shared" si="1"/>
        <v>Old</v>
      </c>
      <c r="N86" t="s">
        <v>15</v>
      </c>
    </row>
    <row r="87" spans="1:14" x14ac:dyDescent="0.3">
      <c r="A87">
        <v>16514</v>
      </c>
      <c r="B87" t="s">
        <v>39</v>
      </c>
      <c r="C87" t="s">
        <v>37</v>
      </c>
      <c r="D87" s="6">
        <v>10000</v>
      </c>
      <c r="E87">
        <v>0</v>
      </c>
      <c r="F87" t="s">
        <v>19</v>
      </c>
      <c r="G87" t="s">
        <v>25</v>
      </c>
      <c r="H87" t="s">
        <v>15</v>
      </c>
      <c r="I87">
        <v>1</v>
      </c>
      <c r="J87" t="s">
        <v>26</v>
      </c>
      <c r="K87" t="s">
        <v>24</v>
      </c>
      <c r="L87">
        <v>26</v>
      </c>
      <c r="M87" t="str">
        <f t="shared" si="1"/>
        <v>Adolescent</v>
      </c>
      <c r="N87" t="s">
        <v>15</v>
      </c>
    </row>
    <row r="88" spans="1:14" x14ac:dyDescent="0.3">
      <c r="A88">
        <v>17191</v>
      </c>
      <c r="B88" t="s">
        <v>39</v>
      </c>
      <c r="C88" t="s">
        <v>37</v>
      </c>
      <c r="D88" s="6">
        <v>130000</v>
      </c>
      <c r="E88">
        <v>3</v>
      </c>
      <c r="F88" t="s">
        <v>19</v>
      </c>
      <c r="G88" t="s">
        <v>21</v>
      </c>
      <c r="H88" t="s">
        <v>18</v>
      </c>
      <c r="I88">
        <v>3</v>
      </c>
      <c r="J88" t="s">
        <v>16</v>
      </c>
      <c r="K88" t="s">
        <v>17</v>
      </c>
      <c r="L88">
        <v>51</v>
      </c>
      <c r="M88" t="str">
        <f t="shared" si="1"/>
        <v>Old</v>
      </c>
      <c r="N88" t="s">
        <v>15</v>
      </c>
    </row>
    <row r="89" spans="1:14" x14ac:dyDescent="0.3">
      <c r="A89">
        <v>19608</v>
      </c>
      <c r="B89" t="s">
        <v>36</v>
      </c>
      <c r="C89" t="s">
        <v>37</v>
      </c>
      <c r="D89" s="6">
        <v>80000</v>
      </c>
      <c r="E89">
        <v>5</v>
      </c>
      <c r="F89" t="s">
        <v>13</v>
      </c>
      <c r="G89" t="s">
        <v>21</v>
      </c>
      <c r="H89" t="s">
        <v>15</v>
      </c>
      <c r="I89">
        <v>4</v>
      </c>
      <c r="J89" t="s">
        <v>26</v>
      </c>
      <c r="K89" t="s">
        <v>24</v>
      </c>
      <c r="L89">
        <v>40</v>
      </c>
      <c r="M89" t="str">
        <f t="shared" si="1"/>
        <v>Middle Age</v>
      </c>
      <c r="N89" t="s">
        <v>18</v>
      </c>
    </row>
    <row r="90" spans="1:14" x14ac:dyDescent="0.3">
      <c r="A90">
        <v>24119</v>
      </c>
      <c r="B90" t="s">
        <v>39</v>
      </c>
      <c r="C90" t="s">
        <v>37</v>
      </c>
      <c r="D90" s="6">
        <v>30000</v>
      </c>
      <c r="E90">
        <v>0</v>
      </c>
      <c r="F90" t="s">
        <v>19</v>
      </c>
      <c r="G90" t="s">
        <v>20</v>
      </c>
      <c r="H90" t="s">
        <v>18</v>
      </c>
      <c r="I90">
        <v>1</v>
      </c>
      <c r="J90" t="s">
        <v>22</v>
      </c>
      <c r="K90" t="s">
        <v>17</v>
      </c>
      <c r="L90">
        <v>29</v>
      </c>
      <c r="M90" t="str">
        <f t="shared" si="1"/>
        <v>Adolescent</v>
      </c>
      <c r="N90" t="s">
        <v>18</v>
      </c>
    </row>
    <row r="91" spans="1:14" x14ac:dyDescent="0.3">
      <c r="A91">
        <v>25458</v>
      </c>
      <c r="B91" t="s">
        <v>36</v>
      </c>
      <c r="C91" t="s">
        <v>37</v>
      </c>
      <c r="D91" s="6">
        <v>20000</v>
      </c>
      <c r="E91">
        <v>1</v>
      </c>
      <c r="F91" t="s">
        <v>27</v>
      </c>
      <c r="G91" t="s">
        <v>25</v>
      </c>
      <c r="H91" t="s">
        <v>18</v>
      </c>
      <c r="I91">
        <v>1</v>
      </c>
      <c r="J91" t="s">
        <v>26</v>
      </c>
      <c r="K91" t="s">
        <v>17</v>
      </c>
      <c r="L91">
        <v>40</v>
      </c>
      <c r="M91" t="str">
        <f t="shared" si="1"/>
        <v>Middle Age</v>
      </c>
      <c r="N91" t="s">
        <v>15</v>
      </c>
    </row>
    <row r="92" spans="1:14" x14ac:dyDescent="0.3">
      <c r="A92">
        <v>26886</v>
      </c>
      <c r="B92" t="s">
        <v>39</v>
      </c>
      <c r="C92" t="s">
        <v>38</v>
      </c>
      <c r="D92" s="6">
        <v>30000</v>
      </c>
      <c r="E92">
        <v>0</v>
      </c>
      <c r="F92" t="s">
        <v>19</v>
      </c>
      <c r="G92" t="s">
        <v>20</v>
      </c>
      <c r="H92" t="s">
        <v>18</v>
      </c>
      <c r="I92">
        <v>1</v>
      </c>
      <c r="J92" t="s">
        <v>16</v>
      </c>
      <c r="K92" t="s">
        <v>17</v>
      </c>
      <c r="L92">
        <v>29</v>
      </c>
      <c r="M92" t="str">
        <f t="shared" si="1"/>
        <v>Adolescent</v>
      </c>
      <c r="N92" t="s">
        <v>15</v>
      </c>
    </row>
    <row r="93" spans="1:14" x14ac:dyDescent="0.3">
      <c r="A93">
        <v>28436</v>
      </c>
      <c r="B93" t="s">
        <v>39</v>
      </c>
      <c r="C93" t="s">
        <v>37</v>
      </c>
      <c r="D93" s="6">
        <v>30000</v>
      </c>
      <c r="E93">
        <v>0</v>
      </c>
      <c r="F93" t="s">
        <v>19</v>
      </c>
      <c r="G93" t="s">
        <v>20</v>
      </c>
      <c r="H93" t="s">
        <v>18</v>
      </c>
      <c r="I93">
        <v>1</v>
      </c>
      <c r="J93" t="s">
        <v>16</v>
      </c>
      <c r="K93" t="s">
        <v>17</v>
      </c>
      <c r="L93">
        <v>30</v>
      </c>
      <c r="M93" t="str">
        <f t="shared" si="1"/>
        <v>Adolescent</v>
      </c>
      <c r="N93" t="s">
        <v>15</v>
      </c>
    </row>
    <row r="94" spans="1:14" x14ac:dyDescent="0.3">
      <c r="A94">
        <v>19562</v>
      </c>
      <c r="B94" t="s">
        <v>39</v>
      </c>
      <c r="C94" t="s">
        <v>38</v>
      </c>
      <c r="D94" s="6">
        <v>60000</v>
      </c>
      <c r="E94">
        <v>2</v>
      </c>
      <c r="F94" t="s">
        <v>13</v>
      </c>
      <c r="G94" t="s">
        <v>21</v>
      </c>
      <c r="H94" t="s">
        <v>15</v>
      </c>
      <c r="I94">
        <v>1</v>
      </c>
      <c r="J94" t="s">
        <v>22</v>
      </c>
      <c r="K94" t="s">
        <v>24</v>
      </c>
      <c r="L94">
        <v>37</v>
      </c>
      <c r="M94" t="str">
        <f t="shared" si="1"/>
        <v>Middle Age</v>
      </c>
      <c r="N94" t="s">
        <v>15</v>
      </c>
    </row>
    <row r="95" spans="1:14" x14ac:dyDescent="0.3">
      <c r="A95">
        <v>15608</v>
      </c>
      <c r="B95" t="s">
        <v>39</v>
      </c>
      <c r="C95" t="s">
        <v>38</v>
      </c>
      <c r="D95" s="6">
        <v>30000</v>
      </c>
      <c r="E95">
        <v>0</v>
      </c>
      <c r="F95" t="s">
        <v>19</v>
      </c>
      <c r="G95" t="s">
        <v>20</v>
      </c>
      <c r="H95" t="s">
        <v>18</v>
      </c>
      <c r="I95">
        <v>1</v>
      </c>
      <c r="J95" t="s">
        <v>22</v>
      </c>
      <c r="K95" t="s">
        <v>17</v>
      </c>
      <c r="L95">
        <v>33</v>
      </c>
      <c r="M95" t="str">
        <f t="shared" si="1"/>
        <v>Middle Age</v>
      </c>
      <c r="N95" t="s">
        <v>18</v>
      </c>
    </row>
    <row r="96" spans="1:14" x14ac:dyDescent="0.3">
      <c r="A96">
        <v>16487</v>
      </c>
      <c r="B96" t="s">
        <v>39</v>
      </c>
      <c r="C96" t="s">
        <v>38</v>
      </c>
      <c r="D96" s="6">
        <v>30000</v>
      </c>
      <c r="E96">
        <v>3</v>
      </c>
      <c r="F96" t="s">
        <v>27</v>
      </c>
      <c r="G96" t="s">
        <v>14</v>
      </c>
      <c r="H96" t="s">
        <v>15</v>
      </c>
      <c r="I96">
        <v>2</v>
      </c>
      <c r="J96" t="s">
        <v>23</v>
      </c>
      <c r="K96" t="s">
        <v>24</v>
      </c>
      <c r="L96">
        <v>55</v>
      </c>
      <c r="M96" t="str">
        <f t="shared" si="1"/>
        <v>Old</v>
      </c>
      <c r="N96" t="s">
        <v>18</v>
      </c>
    </row>
    <row r="97" spans="1:14" x14ac:dyDescent="0.3">
      <c r="A97">
        <v>17197</v>
      </c>
      <c r="B97" t="s">
        <v>39</v>
      </c>
      <c r="C97" t="s">
        <v>38</v>
      </c>
      <c r="D97" s="6">
        <v>90000</v>
      </c>
      <c r="E97">
        <v>5</v>
      </c>
      <c r="F97" t="s">
        <v>19</v>
      </c>
      <c r="G97" t="s">
        <v>21</v>
      </c>
      <c r="H97" t="s">
        <v>15</v>
      </c>
      <c r="I97">
        <v>2</v>
      </c>
      <c r="J97" t="s">
        <v>46</v>
      </c>
      <c r="K97" t="s">
        <v>17</v>
      </c>
      <c r="L97">
        <v>62</v>
      </c>
      <c r="M97" t="str">
        <f t="shared" si="1"/>
        <v>Old</v>
      </c>
      <c r="N97" t="s">
        <v>18</v>
      </c>
    </row>
    <row r="98" spans="1:14" x14ac:dyDescent="0.3">
      <c r="A98">
        <v>12507</v>
      </c>
      <c r="B98" t="s">
        <v>36</v>
      </c>
      <c r="C98" t="s">
        <v>37</v>
      </c>
      <c r="D98" s="6">
        <v>30000</v>
      </c>
      <c r="E98">
        <v>1</v>
      </c>
      <c r="F98" t="s">
        <v>19</v>
      </c>
      <c r="G98" t="s">
        <v>20</v>
      </c>
      <c r="H98" t="s">
        <v>15</v>
      </c>
      <c r="I98">
        <v>1</v>
      </c>
      <c r="J98" t="s">
        <v>16</v>
      </c>
      <c r="K98" t="s">
        <v>17</v>
      </c>
      <c r="L98">
        <v>43</v>
      </c>
      <c r="M98" t="str">
        <f t="shared" si="1"/>
        <v>Middle Age</v>
      </c>
      <c r="N98" t="s">
        <v>18</v>
      </c>
    </row>
    <row r="99" spans="1:14" x14ac:dyDescent="0.3">
      <c r="A99">
        <v>23940</v>
      </c>
      <c r="B99" t="s">
        <v>36</v>
      </c>
      <c r="C99" t="s">
        <v>37</v>
      </c>
      <c r="D99" s="6">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37</v>
      </c>
      <c r="D100" s="6">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6">
        <v>20000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37</v>
      </c>
      <c r="D102" s="6">
        <v>10000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37</v>
      </c>
      <c r="D103" s="6">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37</v>
      </c>
      <c r="D104" s="6">
        <v>10000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37</v>
      </c>
      <c r="D105" s="6">
        <v>60000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38</v>
      </c>
      <c r="D106" s="6">
        <v>70000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38</v>
      </c>
      <c r="D107" s="6">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37</v>
      </c>
      <c r="D108" s="6">
        <v>70000</v>
      </c>
      <c r="E108">
        <v>2</v>
      </c>
      <c r="F108" t="s">
        <v>19</v>
      </c>
      <c r="G108" t="s">
        <v>14</v>
      </c>
      <c r="H108" t="s">
        <v>15</v>
      </c>
      <c r="I108">
        <v>2</v>
      </c>
      <c r="J108" t="s">
        <v>23</v>
      </c>
      <c r="K108" t="s">
        <v>24</v>
      </c>
      <c r="L108">
        <v>52</v>
      </c>
      <c r="M108" t="str">
        <f t="shared" si="1"/>
        <v>Old</v>
      </c>
      <c r="N108" t="s">
        <v>15</v>
      </c>
    </row>
    <row r="109" spans="1:14" x14ac:dyDescent="0.3">
      <c r="A109">
        <v>27494</v>
      </c>
      <c r="B109" t="s">
        <v>39</v>
      </c>
      <c r="C109" t="s">
        <v>38</v>
      </c>
      <c r="D109" s="6">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6">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37</v>
      </c>
      <c r="D111" s="6">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38</v>
      </c>
      <c r="D112" s="6">
        <v>30000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38</v>
      </c>
      <c r="D113" s="6">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38</v>
      </c>
      <c r="D114" s="6">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38</v>
      </c>
      <c r="D115" s="6">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37</v>
      </c>
      <c r="D116" s="6">
        <v>20000</v>
      </c>
      <c r="E116">
        <v>0</v>
      </c>
      <c r="F116" t="s">
        <v>13</v>
      </c>
      <c r="G116" t="s">
        <v>20</v>
      </c>
      <c r="H116" t="s">
        <v>15</v>
      </c>
      <c r="I116">
        <v>0</v>
      </c>
      <c r="J116" t="s">
        <v>16</v>
      </c>
      <c r="K116" t="s">
        <v>24</v>
      </c>
      <c r="L116">
        <v>26</v>
      </c>
      <c r="M116" t="str">
        <f t="shared" si="1"/>
        <v>Adolescent</v>
      </c>
      <c r="N116" t="s">
        <v>15</v>
      </c>
    </row>
    <row r="117" spans="1:14" x14ac:dyDescent="0.3">
      <c r="A117">
        <v>24140</v>
      </c>
      <c r="B117" t="s">
        <v>39</v>
      </c>
      <c r="C117" t="s">
        <v>37</v>
      </c>
      <c r="D117" s="6">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6">
        <v>30000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38</v>
      </c>
      <c r="D119" s="6">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37</v>
      </c>
      <c r="D120" s="6">
        <v>80000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38</v>
      </c>
      <c r="D121" s="6">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6">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37</v>
      </c>
      <c r="D123" s="6">
        <v>150000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38</v>
      </c>
      <c r="D124" s="6">
        <v>80000</v>
      </c>
      <c r="E124">
        <v>0</v>
      </c>
      <c r="F124" t="s">
        <v>13</v>
      </c>
      <c r="G124" t="s">
        <v>21</v>
      </c>
      <c r="H124" t="s">
        <v>18</v>
      </c>
      <c r="I124">
        <v>3</v>
      </c>
      <c r="J124" t="s">
        <v>46</v>
      </c>
      <c r="K124" t="s">
        <v>24</v>
      </c>
      <c r="L124">
        <v>31</v>
      </c>
      <c r="M124" t="str">
        <f t="shared" si="1"/>
        <v>Middle Age</v>
      </c>
      <c r="N124" t="s">
        <v>18</v>
      </c>
    </row>
    <row r="125" spans="1:14" x14ac:dyDescent="0.3">
      <c r="A125">
        <v>23627</v>
      </c>
      <c r="B125" t="s">
        <v>39</v>
      </c>
      <c r="C125" t="s">
        <v>38</v>
      </c>
      <c r="D125" s="6">
        <v>100000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38</v>
      </c>
      <c r="D126" s="6">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37</v>
      </c>
      <c r="D127" s="6">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37</v>
      </c>
      <c r="D128" s="6">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37</v>
      </c>
      <c r="D129" s="6">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37</v>
      </c>
      <c r="D130" s="6">
        <v>10000</v>
      </c>
      <c r="E130">
        <v>2</v>
      </c>
      <c r="F130" t="s">
        <v>19</v>
      </c>
      <c r="G130" t="s">
        <v>25</v>
      </c>
      <c r="H130" t="s">
        <v>15</v>
      </c>
      <c r="I130">
        <v>1</v>
      </c>
      <c r="J130" t="s">
        <v>16</v>
      </c>
      <c r="K130" t="s">
        <v>17</v>
      </c>
      <c r="L130">
        <v>52</v>
      </c>
      <c r="M130" t="str">
        <f t="shared" ref="M130:M193" si="2">IF(L130&gt;=50,"Old",IF(L130&gt;=31,"Middle Age",IF(L130&lt;31,"Adolescent","Invalid")))</f>
        <v>Old</v>
      </c>
      <c r="N130" t="s">
        <v>15</v>
      </c>
    </row>
    <row r="131" spans="1:14" x14ac:dyDescent="0.3">
      <c r="A131">
        <v>26818</v>
      </c>
      <c r="B131" t="s">
        <v>39</v>
      </c>
      <c r="C131" t="s">
        <v>37</v>
      </c>
      <c r="D131" s="6">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37</v>
      </c>
      <c r="D132" s="6">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37</v>
      </c>
      <c r="D133" s="6">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37</v>
      </c>
      <c r="D134" s="6">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37</v>
      </c>
      <c r="D135" s="6">
        <v>40000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38</v>
      </c>
      <c r="D136" s="6">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37</v>
      </c>
      <c r="D137" s="6">
        <v>10000</v>
      </c>
      <c r="E137">
        <v>2</v>
      </c>
      <c r="F137" t="s">
        <v>19</v>
      </c>
      <c r="G137" t="s">
        <v>25</v>
      </c>
      <c r="H137" t="s">
        <v>15</v>
      </c>
      <c r="I137">
        <v>1</v>
      </c>
      <c r="J137" t="s">
        <v>22</v>
      </c>
      <c r="K137" t="s">
        <v>17</v>
      </c>
      <c r="L137">
        <v>52</v>
      </c>
      <c r="M137" t="str">
        <f t="shared" si="2"/>
        <v>Old</v>
      </c>
      <c r="N137" t="s">
        <v>18</v>
      </c>
    </row>
    <row r="138" spans="1:14" x14ac:dyDescent="0.3">
      <c r="A138">
        <v>28683</v>
      </c>
      <c r="B138" t="s">
        <v>39</v>
      </c>
      <c r="C138" t="s">
        <v>38</v>
      </c>
      <c r="D138" s="6">
        <v>10000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37</v>
      </c>
      <c r="D139" s="6">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6">
        <v>20000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38</v>
      </c>
      <c r="D141" s="6">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37</v>
      </c>
      <c r="D142" s="6">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38</v>
      </c>
      <c r="D143" s="6">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37</v>
      </c>
      <c r="D144" s="6">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6">
        <v>80000</v>
      </c>
      <c r="E145">
        <v>0</v>
      </c>
      <c r="F145" t="s">
        <v>13</v>
      </c>
      <c r="G145" t="s">
        <v>21</v>
      </c>
      <c r="H145" t="s">
        <v>15</v>
      </c>
      <c r="I145">
        <v>3</v>
      </c>
      <c r="J145" t="s">
        <v>46</v>
      </c>
      <c r="K145" t="s">
        <v>24</v>
      </c>
      <c r="L145">
        <v>32</v>
      </c>
      <c r="M145" t="str">
        <f t="shared" si="2"/>
        <v>Middle Age</v>
      </c>
      <c r="N145" t="s">
        <v>18</v>
      </c>
    </row>
    <row r="146" spans="1:14" x14ac:dyDescent="0.3">
      <c r="A146">
        <v>20877</v>
      </c>
      <c r="B146" t="s">
        <v>39</v>
      </c>
      <c r="C146" t="s">
        <v>37</v>
      </c>
      <c r="D146" s="6">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6">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37</v>
      </c>
      <c r="D148" s="6">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6">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37</v>
      </c>
      <c r="D150" s="6">
        <v>20000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37</v>
      </c>
      <c r="D151" s="6">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37</v>
      </c>
      <c r="D152" s="6">
        <v>60000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37</v>
      </c>
      <c r="D153" s="6">
        <v>100000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38</v>
      </c>
      <c r="D154" s="6">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37</v>
      </c>
      <c r="D155" s="6">
        <v>100000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37</v>
      </c>
      <c r="D156" s="6">
        <v>80000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38</v>
      </c>
      <c r="D157" s="6">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6">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37</v>
      </c>
      <c r="D159" s="6">
        <v>10000</v>
      </c>
      <c r="E159">
        <v>2</v>
      </c>
      <c r="F159" t="s">
        <v>19</v>
      </c>
      <c r="G159" t="s">
        <v>25</v>
      </c>
      <c r="H159" t="s">
        <v>18</v>
      </c>
      <c r="I159">
        <v>0</v>
      </c>
      <c r="J159" t="s">
        <v>16</v>
      </c>
      <c r="K159" t="s">
        <v>17</v>
      </c>
      <c r="L159">
        <v>50</v>
      </c>
      <c r="M159" t="str">
        <f t="shared" si="2"/>
        <v>Old</v>
      </c>
      <c r="N159" t="s">
        <v>18</v>
      </c>
    </row>
    <row r="160" spans="1:14" x14ac:dyDescent="0.3">
      <c r="A160">
        <v>25605</v>
      </c>
      <c r="B160" t="s">
        <v>39</v>
      </c>
      <c r="C160" t="s">
        <v>38</v>
      </c>
      <c r="D160" s="6">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6">
        <v>10000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38</v>
      </c>
      <c r="D162" s="6">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6">
        <v>20000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38</v>
      </c>
      <c r="D164" s="6">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37</v>
      </c>
      <c r="D165" s="6">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37</v>
      </c>
      <c r="D166" s="6">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6">
        <v>10000</v>
      </c>
      <c r="E167">
        <v>0</v>
      </c>
      <c r="F167" t="s">
        <v>19</v>
      </c>
      <c r="G167" t="s">
        <v>25</v>
      </c>
      <c r="H167" t="s">
        <v>18</v>
      </c>
      <c r="I167">
        <v>1</v>
      </c>
      <c r="J167" t="s">
        <v>16</v>
      </c>
      <c r="K167" t="s">
        <v>24</v>
      </c>
      <c r="L167">
        <v>25</v>
      </c>
      <c r="M167" t="str">
        <f t="shared" si="2"/>
        <v>Adolescent</v>
      </c>
      <c r="N167" t="s">
        <v>18</v>
      </c>
    </row>
    <row r="168" spans="1:14" x14ac:dyDescent="0.3">
      <c r="A168">
        <v>26757</v>
      </c>
      <c r="B168" t="s">
        <v>39</v>
      </c>
      <c r="C168" t="s">
        <v>37</v>
      </c>
      <c r="D168" s="6">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37</v>
      </c>
      <c r="D169" s="6">
        <v>100000</v>
      </c>
      <c r="E169">
        <v>0</v>
      </c>
      <c r="F169" t="s">
        <v>27</v>
      </c>
      <c r="G169" t="s">
        <v>28</v>
      </c>
      <c r="H169" t="s">
        <v>15</v>
      </c>
      <c r="I169">
        <v>3</v>
      </c>
      <c r="J169" t="s">
        <v>46</v>
      </c>
      <c r="K169" t="s">
        <v>24</v>
      </c>
      <c r="L169">
        <v>35</v>
      </c>
      <c r="M169" t="str">
        <f t="shared" si="2"/>
        <v>Middle Age</v>
      </c>
      <c r="N169" t="s">
        <v>18</v>
      </c>
    </row>
    <row r="170" spans="1:14" x14ac:dyDescent="0.3">
      <c r="A170">
        <v>14058</v>
      </c>
      <c r="B170" t="s">
        <v>39</v>
      </c>
      <c r="C170" t="s">
        <v>37</v>
      </c>
      <c r="D170" s="6">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37</v>
      </c>
      <c r="D171" s="6">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6">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6">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37</v>
      </c>
      <c r="D174" s="6">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6">
        <v>10000</v>
      </c>
      <c r="E175">
        <v>0</v>
      </c>
      <c r="F175" t="s">
        <v>19</v>
      </c>
      <c r="G175" t="s">
        <v>25</v>
      </c>
      <c r="H175" t="s">
        <v>15</v>
      </c>
      <c r="I175">
        <v>1</v>
      </c>
      <c r="J175" t="s">
        <v>22</v>
      </c>
      <c r="K175" t="s">
        <v>24</v>
      </c>
      <c r="L175">
        <v>27</v>
      </c>
      <c r="M175" t="str">
        <f t="shared" si="2"/>
        <v>Adolescent</v>
      </c>
      <c r="N175" t="s">
        <v>18</v>
      </c>
    </row>
    <row r="176" spans="1:14" x14ac:dyDescent="0.3">
      <c r="A176">
        <v>19442</v>
      </c>
      <c r="B176" t="s">
        <v>39</v>
      </c>
      <c r="C176" t="s">
        <v>37</v>
      </c>
      <c r="D176" s="6">
        <v>50000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38</v>
      </c>
      <c r="D177" s="6">
        <v>80000</v>
      </c>
      <c r="E177">
        <v>2</v>
      </c>
      <c r="F177" t="s">
        <v>19</v>
      </c>
      <c r="G177" t="s">
        <v>14</v>
      </c>
      <c r="H177" t="s">
        <v>15</v>
      </c>
      <c r="I177">
        <v>2</v>
      </c>
      <c r="J177" t="s">
        <v>23</v>
      </c>
      <c r="K177" t="s">
        <v>24</v>
      </c>
      <c r="L177">
        <v>52</v>
      </c>
      <c r="M177" t="str">
        <f t="shared" si="2"/>
        <v>Old</v>
      </c>
      <c r="N177" t="s">
        <v>15</v>
      </c>
    </row>
    <row r="178" spans="1:14" x14ac:dyDescent="0.3">
      <c r="A178">
        <v>12253</v>
      </c>
      <c r="B178" t="s">
        <v>39</v>
      </c>
      <c r="C178" t="s">
        <v>38</v>
      </c>
      <c r="D178" s="6">
        <v>20000</v>
      </c>
      <c r="E178">
        <v>0</v>
      </c>
      <c r="F178" t="s">
        <v>19</v>
      </c>
      <c r="G178" t="s">
        <v>25</v>
      </c>
      <c r="H178" t="s">
        <v>15</v>
      </c>
      <c r="I178">
        <v>0</v>
      </c>
      <c r="J178" t="s">
        <v>16</v>
      </c>
      <c r="K178" t="s">
        <v>24</v>
      </c>
      <c r="L178">
        <v>29</v>
      </c>
      <c r="M178" t="str">
        <f t="shared" si="2"/>
        <v>Adolescent</v>
      </c>
      <c r="N178" t="s">
        <v>15</v>
      </c>
    </row>
    <row r="179" spans="1:14" x14ac:dyDescent="0.3">
      <c r="A179">
        <v>27304</v>
      </c>
      <c r="B179" t="s">
        <v>39</v>
      </c>
      <c r="C179" t="s">
        <v>38</v>
      </c>
      <c r="D179" s="6">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37</v>
      </c>
      <c r="D180" s="6">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6">
        <v>10000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37</v>
      </c>
      <c r="D182" s="6">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6">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6">
        <v>10000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37</v>
      </c>
      <c r="D185" s="6">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6">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6">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6">
        <v>30000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37</v>
      </c>
      <c r="D189" s="6">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6">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37</v>
      </c>
      <c r="D191" s="6">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37</v>
      </c>
      <c r="D192" s="6">
        <v>30000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37</v>
      </c>
      <c r="D193" s="6">
        <v>90000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38</v>
      </c>
      <c r="D194" s="6">
        <v>80000</v>
      </c>
      <c r="E194">
        <v>5</v>
      </c>
      <c r="F194" t="s">
        <v>13</v>
      </c>
      <c r="G194" t="s">
        <v>28</v>
      </c>
      <c r="H194" t="s">
        <v>15</v>
      </c>
      <c r="I194">
        <v>2</v>
      </c>
      <c r="J194" t="s">
        <v>46</v>
      </c>
      <c r="K194" t="s">
        <v>17</v>
      </c>
      <c r="L194">
        <v>62</v>
      </c>
      <c r="M194" t="str">
        <f t="shared" ref="M194:M257" si="3">IF(L194&gt;=50,"Old",IF(L194&gt;=31,"Middle Age",IF(L194&lt;31,"Adolescent","Invalid")))</f>
        <v>Old</v>
      </c>
      <c r="N194" t="s">
        <v>18</v>
      </c>
    </row>
    <row r="195" spans="1:14" x14ac:dyDescent="0.3">
      <c r="A195">
        <v>26032</v>
      </c>
      <c r="B195" t="s">
        <v>36</v>
      </c>
      <c r="C195" t="s">
        <v>38</v>
      </c>
      <c r="D195" s="6">
        <v>70000</v>
      </c>
      <c r="E195">
        <v>5</v>
      </c>
      <c r="F195" t="s">
        <v>13</v>
      </c>
      <c r="G195" t="s">
        <v>21</v>
      </c>
      <c r="H195" t="s">
        <v>15</v>
      </c>
      <c r="I195">
        <v>4</v>
      </c>
      <c r="J195" t="s">
        <v>46</v>
      </c>
      <c r="K195" t="s">
        <v>24</v>
      </c>
      <c r="L195">
        <v>41</v>
      </c>
      <c r="M195" t="str">
        <f t="shared" si="3"/>
        <v>Middle Age</v>
      </c>
      <c r="N195" t="s">
        <v>18</v>
      </c>
    </row>
    <row r="196" spans="1:14" x14ac:dyDescent="0.3">
      <c r="A196">
        <v>17843</v>
      </c>
      <c r="B196" t="s">
        <v>39</v>
      </c>
      <c r="C196" t="s">
        <v>38</v>
      </c>
      <c r="D196" s="6">
        <v>10000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37</v>
      </c>
      <c r="D197" s="6">
        <v>20000</v>
      </c>
      <c r="E197">
        <v>0</v>
      </c>
      <c r="F197" t="s">
        <v>13</v>
      </c>
      <c r="G197" t="s">
        <v>20</v>
      </c>
      <c r="H197" t="s">
        <v>15</v>
      </c>
      <c r="I197">
        <v>0</v>
      </c>
      <c r="J197" t="s">
        <v>16</v>
      </c>
      <c r="K197" t="s">
        <v>24</v>
      </c>
      <c r="L197">
        <v>25</v>
      </c>
      <c r="M197" t="str">
        <f t="shared" si="3"/>
        <v>Adolescent</v>
      </c>
      <c r="N197" t="s">
        <v>15</v>
      </c>
    </row>
    <row r="198" spans="1:14" x14ac:dyDescent="0.3">
      <c r="A198">
        <v>16209</v>
      </c>
      <c r="B198" t="s">
        <v>39</v>
      </c>
      <c r="C198" t="s">
        <v>38</v>
      </c>
      <c r="D198" s="6">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37</v>
      </c>
      <c r="D199" s="6">
        <v>60000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38</v>
      </c>
      <c r="D200" s="6">
        <v>100000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37</v>
      </c>
      <c r="D201" s="6">
        <v>80000</v>
      </c>
      <c r="E201">
        <v>0</v>
      </c>
      <c r="F201" t="s">
        <v>13</v>
      </c>
      <c r="G201" t="s">
        <v>21</v>
      </c>
      <c r="H201" t="s">
        <v>18</v>
      </c>
      <c r="I201">
        <v>3</v>
      </c>
      <c r="J201" t="s">
        <v>46</v>
      </c>
      <c r="K201" t="s">
        <v>24</v>
      </c>
      <c r="L201">
        <v>33</v>
      </c>
      <c r="M201" t="str">
        <f t="shared" si="3"/>
        <v>Middle Age</v>
      </c>
      <c r="N201" t="s">
        <v>15</v>
      </c>
    </row>
    <row r="202" spans="1:14" x14ac:dyDescent="0.3">
      <c r="A202">
        <v>24584</v>
      </c>
      <c r="B202" t="s">
        <v>39</v>
      </c>
      <c r="C202" t="s">
        <v>37</v>
      </c>
      <c r="D202" s="6">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37</v>
      </c>
      <c r="D203" s="6">
        <v>10000</v>
      </c>
      <c r="E203">
        <v>1</v>
      </c>
      <c r="F203" t="s">
        <v>27</v>
      </c>
      <c r="G203" t="s">
        <v>25</v>
      </c>
      <c r="H203" t="s">
        <v>15</v>
      </c>
      <c r="I203">
        <v>0</v>
      </c>
      <c r="J203" t="s">
        <v>22</v>
      </c>
      <c r="K203" t="s">
        <v>24</v>
      </c>
      <c r="L203">
        <v>27</v>
      </c>
      <c r="M203" t="str">
        <f t="shared" si="3"/>
        <v>Adolescent</v>
      </c>
      <c r="N203" t="s">
        <v>15</v>
      </c>
    </row>
    <row r="204" spans="1:14" x14ac:dyDescent="0.3">
      <c r="A204">
        <v>18626</v>
      </c>
      <c r="B204" t="s">
        <v>39</v>
      </c>
      <c r="C204" t="s">
        <v>37</v>
      </c>
      <c r="D204" s="6">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38</v>
      </c>
      <c r="D205" s="6">
        <v>60000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38</v>
      </c>
      <c r="D206" s="6">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37</v>
      </c>
      <c r="D207" s="6">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37</v>
      </c>
      <c r="D208" s="6">
        <v>90000</v>
      </c>
      <c r="E208">
        <v>5</v>
      </c>
      <c r="F208" t="s">
        <v>19</v>
      </c>
      <c r="G208" t="s">
        <v>21</v>
      </c>
      <c r="H208" t="s">
        <v>18</v>
      </c>
      <c r="I208">
        <v>2</v>
      </c>
      <c r="J208" t="s">
        <v>46</v>
      </c>
      <c r="K208" t="s">
        <v>17</v>
      </c>
      <c r="L208">
        <v>62</v>
      </c>
      <c r="M208" t="str">
        <f t="shared" si="3"/>
        <v>Old</v>
      </c>
      <c r="N208" t="s">
        <v>18</v>
      </c>
    </row>
    <row r="209" spans="1:14" x14ac:dyDescent="0.3">
      <c r="A209">
        <v>28729</v>
      </c>
      <c r="B209" t="s">
        <v>39</v>
      </c>
      <c r="C209" t="s">
        <v>38</v>
      </c>
      <c r="D209" s="6">
        <v>20000</v>
      </c>
      <c r="E209">
        <v>0</v>
      </c>
      <c r="F209" t="s">
        <v>29</v>
      </c>
      <c r="G209" t="s">
        <v>25</v>
      </c>
      <c r="H209" t="s">
        <v>15</v>
      </c>
      <c r="I209">
        <v>2</v>
      </c>
      <c r="J209" t="s">
        <v>26</v>
      </c>
      <c r="K209" t="s">
        <v>17</v>
      </c>
      <c r="L209">
        <v>26</v>
      </c>
      <c r="M209" t="str">
        <f t="shared" si="3"/>
        <v>Adolescent</v>
      </c>
      <c r="N209" t="s">
        <v>15</v>
      </c>
    </row>
    <row r="210" spans="1:14" x14ac:dyDescent="0.3">
      <c r="A210">
        <v>22633</v>
      </c>
      <c r="B210" t="s">
        <v>39</v>
      </c>
      <c r="C210" t="s">
        <v>38</v>
      </c>
      <c r="D210" s="6">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38</v>
      </c>
      <c r="D211" s="6">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6">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6">
        <v>50000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38</v>
      </c>
      <c r="D214" s="6">
        <v>30000</v>
      </c>
      <c r="E214">
        <v>0</v>
      </c>
      <c r="F214" t="s">
        <v>19</v>
      </c>
      <c r="G214" t="s">
        <v>20</v>
      </c>
      <c r="H214" t="s">
        <v>18</v>
      </c>
      <c r="I214">
        <v>1</v>
      </c>
      <c r="J214" t="s">
        <v>22</v>
      </c>
      <c r="K214" t="s">
        <v>17</v>
      </c>
      <c r="L214">
        <v>30</v>
      </c>
      <c r="M214" t="str">
        <f t="shared" si="3"/>
        <v>Adolescent</v>
      </c>
      <c r="N214" t="s">
        <v>18</v>
      </c>
    </row>
    <row r="215" spans="1:14" x14ac:dyDescent="0.3">
      <c r="A215">
        <v>11451</v>
      </c>
      <c r="B215" t="s">
        <v>39</v>
      </c>
      <c r="C215" t="s">
        <v>37</v>
      </c>
      <c r="D215" s="6">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37</v>
      </c>
      <c r="D216" s="6">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37</v>
      </c>
      <c r="D217" s="6">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37</v>
      </c>
      <c r="D218" s="6">
        <v>20000</v>
      </c>
      <c r="E218">
        <v>2</v>
      </c>
      <c r="F218" t="s">
        <v>29</v>
      </c>
      <c r="G218" t="s">
        <v>20</v>
      </c>
      <c r="H218" t="s">
        <v>15</v>
      </c>
      <c r="I218">
        <v>3</v>
      </c>
      <c r="J218" t="s">
        <v>23</v>
      </c>
      <c r="K218" t="s">
        <v>24</v>
      </c>
      <c r="L218">
        <v>54</v>
      </c>
      <c r="M218" t="str">
        <f t="shared" si="3"/>
        <v>Old</v>
      </c>
      <c r="N218" t="s">
        <v>18</v>
      </c>
    </row>
    <row r="219" spans="1:14" x14ac:dyDescent="0.3">
      <c r="A219">
        <v>13673</v>
      </c>
      <c r="B219" t="s">
        <v>39</v>
      </c>
      <c r="C219" t="s">
        <v>38</v>
      </c>
      <c r="D219" s="6">
        <v>20000</v>
      </c>
      <c r="E219">
        <v>0</v>
      </c>
      <c r="F219" t="s">
        <v>29</v>
      </c>
      <c r="G219" t="s">
        <v>25</v>
      </c>
      <c r="H219" t="s">
        <v>18</v>
      </c>
      <c r="I219">
        <v>2</v>
      </c>
      <c r="J219" t="s">
        <v>16</v>
      </c>
      <c r="K219" t="s">
        <v>17</v>
      </c>
      <c r="L219">
        <v>25</v>
      </c>
      <c r="M219" t="str">
        <f t="shared" si="3"/>
        <v>Adolescent</v>
      </c>
      <c r="N219" t="s">
        <v>18</v>
      </c>
    </row>
    <row r="220" spans="1:14" x14ac:dyDescent="0.3">
      <c r="A220">
        <v>16043</v>
      </c>
      <c r="B220" t="s">
        <v>39</v>
      </c>
      <c r="C220" t="s">
        <v>37</v>
      </c>
      <c r="D220" s="6">
        <v>10000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37</v>
      </c>
      <c r="D221" s="6">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37</v>
      </c>
      <c r="D222" s="6">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37</v>
      </c>
      <c r="D223" s="6">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6">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38</v>
      </c>
      <c r="D225" s="6">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6">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37</v>
      </c>
      <c r="D227" s="6">
        <v>20000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38</v>
      </c>
      <c r="D228" s="6">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37</v>
      </c>
      <c r="D229" s="6">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6">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37</v>
      </c>
      <c r="D231" s="6">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37</v>
      </c>
      <c r="D232" s="6">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6">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6">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37</v>
      </c>
      <c r="D235" s="6">
        <v>20000</v>
      </c>
      <c r="E235">
        <v>0</v>
      </c>
      <c r="F235" t="s">
        <v>13</v>
      </c>
      <c r="G235" t="s">
        <v>20</v>
      </c>
      <c r="H235" t="s">
        <v>15</v>
      </c>
      <c r="I235">
        <v>0</v>
      </c>
      <c r="J235" t="s">
        <v>16</v>
      </c>
      <c r="K235" t="s">
        <v>24</v>
      </c>
      <c r="L235">
        <v>27</v>
      </c>
      <c r="M235" t="str">
        <f t="shared" si="3"/>
        <v>Adolescent</v>
      </c>
      <c r="N235" t="s">
        <v>15</v>
      </c>
    </row>
    <row r="236" spans="1:14" x14ac:dyDescent="0.3">
      <c r="A236">
        <v>24611</v>
      </c>
      <c r="B236" t="s">
        <v>39</v>
      </c>
      <c r="C236" t="s">
        <v>37</v>
      </c>
      <c r="D236" s="6">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6">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38</v>
      </c>
      <c r="D238" s="6">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6">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37</v>
      </c>
      <c r="D240" s="6">
        <v>70000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38</v>
      </c>
      <c r="D241" s="6">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37</v>
      </c>
      <c r="D242" s="6">
        <v>10000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38</v>
      </c>
      <c r="D243" s="6">
        <v>30000</v>
      </c>
      <c r="E243">
        <v>3</v>
      </c>
      <c r="F243" t="s">
        <v>19</v>
      </c>
      <c r="G243" t="s">
        <v>20</v>
      </c>
      <c r="H243" t="s">
        <v>15</v>
      </c>
      <c r="I243">
        <v>2</v>
      </c>
      <c r="J243" t="s">
        <v>16</v>
      </c>
      <c r="K243" t="s">
        <v>17</v>
      </c>
      <c r="L243">
        <v>27</v>
      </c>
      <c r="M243" t="str">
        <f t="shared" si="3"/>
        <v>Adolescent</v>
      </c>
      <c r="N243" t="s">
        <v>18</v>
      </c>
    </row>
    <row r="244" spans="1:14" x14ac:dyDescent="0.3">
      <c r="A244">
        <v>23908</v>
      </c>
      <c r="B244" t="s">
        <v>39</v>
      </c>
      <c r="C244" t="s">
        <v>37</v>
      </c>
      <c r="D244" s="6">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38</v>
      </c>
      <c r="D245" s="6">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6">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37</v>
      </c>
      <c r="D247" s="6">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6">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6">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6">
        <v>10000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37</v>
      </c>
      <c r="D251" s="6">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37</v>
      </c>
      <c r="D252" s="6">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37</v>
      </c>
      <c r="D253" s="6">
        <v>130000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37</v>
      </c>
      <c r="D254" s="6">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37</v>
      </c>
      <c r="D255" s="6">
        <v>100000</v>
      </c>
      <c r="E255">
        <v>3</v>
      </c>
      <c r="F255" t="s">
        <v>29</v>
      </c>
      <c r="G255" t="s">
        <v>21</v>
      </c>
      <c r="H255" t="s">
        <v>15</v>
      </c>
      <c r="I255">
        <v>0</v>
      </c>
      <c r="J255" t="s">
        <v>46</v>
      </c>
      <c r="K255" t="s">
        <v>17</v>
      </c>
      <c r="L255">
        <v>59</v>
      </c>
      <c r="M255" t="str">
        <f t="shared" si="3"/>
        <v>Old</v>
      </c>
      <c r="N255" t="s">
        <v>15</v>
      </c>
    </row>
    <row r="256" spans="1:14" x14ac:dyDescent="0.3">
      <c r="A256">
        <v>21375</v>
      </c>
      <c r="B256" t="s">
        <v>39</v>
      </c>
      <c r="C256" t="s">
        <v>37</v>
      </c>
      <c r="D256" s="6">
        <v>20000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38</v>
      </c>
      <c r="D257" s="6">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37</v>
      </c>
      <c r="D258" s="6">
        <v>20000</v>
      </c>
      <c r="E258">
        <v>1</v>
      </c>
      <c r="F258" t="s">
        <v>31</v>
      </c>
      <c r="G258" t="s">
        <v>20</v>
      </c>
      <c r="H258" t="s">
        <v>15</v>
      </c>
      <c r="I258">
        <v>0</v>
      </c>
      <c r="J258" t="s">
        <v>16</v>
      </c>
      <c r="K258" t="s">
        <v>17</v>
      </c>
      <c r="L258">
        <v>43</v>
      </c>
      <c r="M258" t="str">
        <f t="shared" ref="M258:M321" si="4">IF(L258&gt;=50,"Old",IF(L258&gt;=31,"Middle Age",IF(L258&lt;31,"Adolescent","Invalid")))</f>
        <v>Middle Age</v>
      </c>
      <c r="N258" t="s">
        <v>18</v>
      </c>
    </row>
    <row r="259" spans="1:14" x14ac:dyDescent="0.3">
      <c r="A259">
        <v>14164</v>
      </c>
      <c r="B259" t="s">
        <v>39</v>
      </c>
      <c r="C259" t="s">
        <v>38</v>
      </c>
      <c r="D259" s="6">
        <v>50000</v>
      </c>
      <c r="E259">
        <v>0</v>
      </c>
      <c r="F259" t="s">
        <v>31</v>
      </c>
      <c r="G259" t="s">
        <v>14</v>
      </c>
      <c r="H259" t="s">
        <v>15</v>
      </c>
      <c r="I259">
        <v>0</v>
      </c>
      <c r="J259" t="s">
        <v>16</v>
      </c>
      <c r="K259" t="s">
        <v>17</v>
      </c>
      <c r="L259">
        <v>36</v>
      </c>
      <c r="M259" t="str">
        <f t="shared" si="4"/>
        <v>Middle Age</v>
      </c>
      <c r="N259" t="s">
        <v>15</v>
      </c>
    </row>
    <row r="260" spans="1:14" x14ac:dyDescent="0.3">
      <c r="A260">
        <v>14193</v>
      </c>
      <c r="B260" t="s">
        <v>39</v>
      </c>
      <c r="C260" t="s">
        <v>38</v>
      </c>
      <c r="D260" s="6">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37</v>
      </c>
      <c r="D261" s="6">
        <v>150000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38</v>
      </c>
      <c r="D262" s="6">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6">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6">
        <v>10000</v>
      </c>
      <c r="E264">
        <v>2</v>
      </c>
      <c r="F264" t="s">
        <v>19</v>
      </c>
      <c r="G264" t="s">
        <v>25</v>
      </c>
      <c r="H264" t="s">
        <v>15</v>
      </c>
      <c r="I264">
        <v>0</v>
      </c>
      <c r="J264" t="s">
        <v>26</v>
      </c>
      <c r="K264" t="s">
        <v>17</v>
      </c>
      <c r="L264">
        <v>51</v>
      </c>
      <c r="M264" t="str">
        <f t="shared" si="4"/>
        <v>Old</v>
      </c>
      <c r="N264" t="s">
        <v>18</v>
      </c>
    </row>
    <row r="265" spans="1:14" x14ac:dyDescent="0.3">
      <c r="A265">
        <v>23419</v>
      </c>
      <c r="B265" t="s">
        <v>39</v>
      </c>
      <c r="C265" t="s">
        <v>38</v>
      </c>
      <c r="D265" s="6">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37</v>
      </c>
      <c r="D266" s="6">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38</v>
      </c>
      <c r="D267" s="6">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38</v>
      </c>
      <c r="D268" s="6">
        <v>20000</v>
      </c>
      <c r="E268">
        <v>5</v>
      </c>
      <c r="F268" t="s">
        <v>27</v>
      </c>
      <c r="G268" t="s">
        <v>25</v>
      </c>
      <c r="H268" t="s">
        <v>15</v>
      </c>
      <c r="I268">
        <v>2</v>
      </c>
      <c r="J268" t="s">
        <v>16</v>
      </c>
      <c r="K268" t="s">
        <v>17</v>
      </c>
      <c r="L268">
        <v>27</v>
      </c>
      <c r="M268" t="str">
        <f t="shared" si="4"/>
        <v>Adolescent</v>
      </c>
      <c r="N268" t="s">
        <v>18</v>
      </c>
    </row>
    <row r="269" spans="1:14" x14ac:dyDescent="0.3">
      <c r="A269">
        <v>13133</v>
      </c>
      <c r="B269" t="s">
        <v>39</v>
      </c>
      <c r="C269" t="s">
        <v>37</v>
      </c>
      <c r="D269" s="6">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37</v>
      </c>
      <c r="D270" s="6">
        <v>70000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38</v>
      </c>
      <c r="D271" s="6">
        <v>50000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38</v>
      </c>
      <c r="D272" s="6">
        <v>10000</v>
      </c>
      <c r="E272">
        <v>2</v>
      </c>
      <c r="F272" t="s">
        <v>19</v>
      </c>
      <c r="G272" t="s">
        <v>25</v>
      </c>
      <c r="H272" t="s">
        <v>15</v>
      </c>
      <c r="I272">
        <v>0</v>
      </c>
      <c r="J272" t="s">
        <v>16</v>
      </c>
      <c r="K272" t="s">
        <v>17</v>
      </c>
      <c r="L272">
        <v>51</v>
      </c>
      <c r="M272" t="str">
        <f t="shared" si="4"/>
        <v>Old</v>
      </c>
      <c r="N272" t="s">
        <v>15</v>
      </c>
    </row>
    <row r="273" spans="1:14" x14ac:dyDescent="0.3">
      <c r="A273">
        <v>25665</v>
      </c>
      <c r="B273" t="s">
        <v>39</v>
      </c>
      <c r="C273" t="s">
        <v>38</v>
      </c>
      <c r="D273" s="6">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37</v>
      </c>
      <c r="D274" s="6">
        <v>10000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38</v>
      </c>
      <c r="D275" s="6">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6">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6">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6">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6">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37</v>
      </c>
      <c r="D280" s="6">
        <v>100000</v>
      </c>
      <c r="E280">
        <v>0</v>
      </c>
      <c r="F280" t="s">
        <v>27</v>
      </c>
      <c r="G280" t="s">
        <v>28</v>
      </c>
      <c r="H280" t="s">
        <v>15</v>
      </c>
      <c r="I280">
        <v>3</v>
      </c>
      <c r="J280" t="s">
        <v>46</v>
      </c>
      <c r="K280" t="s">
        <v>24</v>
      </c>
      <c r="L280">
        <v>35</v>
      </c>
      <c r="M280" t="str">
        <f t="shared" si="4"/>
        <v>Middle Age</v>
      </c>
      <c r="N280" t="s">
        <v>15</v>
      </c>
    </row>
    <row r="281" spans="1:14" x14ac:dyDescent="0.3">
      <c r="A281">
        <v>16390</v>
      </c>
      <c r="B281" t="s">
        <v>39</v>
      </c>
      <c r="C281" t="s">
        <v>37</v>
      </c>
      <c r="D281" s="6">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38</v>
      </c>
      <c r="D282" s="6">
        <v>10000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37</v>
      </c>
      <c r="D283" s="6">
        <v>20000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37</v>
      </c>
      <c r="D284" s="6">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6">
        <v>70000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37</v>
      </c>
      <c r="D286" s="6">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6">
        <v>60000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38</v>
      </c>
      <c r="D288" s="6">
        <v>100000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38</v>
      </c>
      <c r="D289" s="6">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37</v>
      </c>
      <c r="D290" s="6">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37</v>
      </c>
      <c r="D291" s="6">
        <v>30000</v>
      </c>
      <c r="E291">
        <v>3</v>
      </c>
      <c r="F291" t="s">
        <v>27</v>
      </c>
      <c r="G291" t="s">
        <v>14</v>
      </c>
      <c r="H291" t="s">
        <v>15</v>
      </c>
      <c r="I291">
        <v>2</v>
      </c>
      <c r="J291" t="s">
        <v>23</v>
      </c>
      <c r="K291" t="s">
        <v>24</v>
      </c>
      <c r="L291">
        <v>54</v>
      </c>
      <c r="M291" t="str">
        <f t="shared" si="4"/>
        <v>Old</v>
      </c>
      <c r="N291" t="s">
        <v>15</v>
      </c>
    </row>
    <row r="292" spans="1:14" x14ac:dyDescent="0.3">
      <c r="A292">
        <v>28319</v>
      </c>
      <c r="B292" t="s">
        <v>39</v>
      </c>
      <c r="C292" t="s">
        <v>38</v>
      </c>
      <c r="D292" s="6">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37</v>
      </c>
      <c r="D293" s="6">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6">
        <v>40000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38</v>
      </c>
      <c r="D295" s="6">
        <v>10000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37</v>
      </c>
      <c r="D296" s="6">
        <v>20000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38</v>
      </c>
      <c r="D297" s="6">
        <v>110000</v>
      </c>
      <c r="E297">
        <v>0</v>
      </c>
      <c r="F297" t="s">
        <v>19</v>
      </c>
      <c r="G297" t="s">
        <v>28</v>
      </c>
      <c r="H297" t="s">
        <v>15</v>
      </c>
      <c r="I297">
        <v>3</v>
      </c>
      <c r="J297" t="s">
        <v>46</v>
      </c>
      <c r="K297" t="s">
        <v>24</v>
      </c>
      <c r="L297">
        <v>32</v>
      </c>
      <c r="M297" t="str">
        <f t="shared" si="4"/>
        <v>Middle Age</v>
      </c>
      <c r="N297" t="s">
        <v>15</v>
      </c>
    </row>
    <row r="298" spans="1:14" x14ac:dyDescent="0.3">
      <c r="A298">
        <v>26663</v>
      </c>
      <c r="B298" t="s">
        <v>39</v>
      </c>
      <c r="C298" t="s">
        <v>38</v>
      </c>
      <c r="D298" s="6">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37</v>
      </c>
      <c r="D299" s="6">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6">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6">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38</v>
      </c>
      <c r="D302" s="6">
        <v>10000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38</v>
      </c>
      <c r="D303" s="6">
        <v>40000</v>
      </c>
      <c r="E303">
        <v>0</v>
      </c>
      <c r="F303" t="s">
        <v>13</v>
      </c>
      <c r="G303" t="s">
        <v>20</v>
      </c>
      <c r="H303" t="s">
        <v>18</v>
      </c>
      <c r="I303">
        <v>0</v>
      </c>
      <c r="J303" t="s">
        <v>16</v>
      </c>
      <c r="K303" t="s">
        <v>24</v>
      </c>
      <c r="L303">
        <v>28</v>
      </c>
      <c r="M303" t="str">
        <f t="shared" si="4"/>
        <v>Adolescent</v>
      </c>
      <c r="N303" t="s">
        <v>15</v>
      </c>
    </row>
    <row r="304" spans="1:14" x14ac:dyDescent="0.3">
      <c r="A304">
        <v>26928</v>
      </c>
      <c r="B304" t="s">
        <v>39</v>
      </c>
      <c r="C304" t="s">
        <v>37</v>
      </c>
      <c r="D304" s="6">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6">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37</v>
      </c>
      <c r="D306" s="6">
        <v>80000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37</v>
      </c>
      <c r="D307" s="6">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37</v>
      </c>
      <c r="D308" s="6">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37</v>
      </c>
      <c r="D309" s="6">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37</v>
      </c>
      <c r="D310" s="6">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6">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37</v>
      </c>
      <c r="D312" s="6">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37</v>
      </c>
      <c r="D313" s="6">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37</v>
      </c>
      <c r="D314" s="6">
        <v>20000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37</v>
      </c>
      <c r="D315" s="6">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37</v>
      </c>
      <c r="D316" s="6">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37</v>
      </c>
      <c r="D317" s="6">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37</v>
      </c>
      <c r="D318" s="6">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37</v>
      </c>
      <c r="D319" s="6">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37</v>
      </c>
      <c r="D320" s="6">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38</v>
      </c>
      <c r="D321" s="6">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37</v>
      </c>
      <c r="D322" s="6">
        <v>100000</v>
      </c>
      <c r="E322">
        <v>0</v>
      </c>
      <c r="F322" t="s">
        <v>31</v>
      </c>
      <c r="G322" t="s">
        <v>28</v>
      </c>
      <c r="H322" t="s">
        <v>15</v>
      </c>
      <c r="I322">
        <v>0</v>
      </c>
      <c r="J322" t="s">
        <v>22</v>
      </c>
      <c r="K322" t="s">
        <v>24</v>
      </c>
      <c r="L322">
        <v>40</v>
      </c>
      <c r="M322" t="str">
        <f t="shared" ref="M322:M385" si="5">IF(L322&gt;=50,"Old",IF(L322&gt;=31,"Middle Age",IF(L322&lt;31,"Adolescent","Invalid")))</f>
        <v>Middle Age</v>
      </c>
      <c r="N322" t="s">
        <v>15</v>
      </c>
    </row>
    <row r="323" spans="1:14" x14ac:dyDescent="0.3">
      <c r="A323">
        <v>16675</v>
      </c>
      <c r="B323" t="s">
        <v>39</v>
      </c>
      <c r="C323" t="s">
        <v>38</v>
      </c>
      <c r="D323" s="6">
        <v>160000</v>
      </c>
      <c r="E323">
        <v>0</v>
      </c>
      <c r="F323" t="s">
        <v>31</v>
      </c>
      <c r="G323" t="s">
        <v>28</v>
      </c>
      <c r="H323" t="s">
        <v>18</v>
      </c>
      <c r="I323">
        <v>3</v>
      </c>
      <c r="J323" t="s">
        <v>16</v>
      </c>
      <c r="K323" t="s">
        <v>24</v>
      </c>
      <c r="L323">
        <v>47</v>
      </c>
      <c r="M323" t="str">
        <f t="shared" si="5"/>
        <v>Middle Age</v>
      </c>
      <c r="N323" t="s">
        <v>15</v>
      </c>
    </row>
    <row r="324" spans="1:14" x14ac:dyDescent="0.3">
      <c r="A324">
        <v>16410</v>
      </c>
      <c r="B324" t="s">
        <v>39</v>
      </c>
      <c r="C324" t="s">
        <v>38</v>
      </c>
      <c r="D324" s="6">
        <v>10000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38</v>
      </c>
      <c r="D325" s="6">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37</v>
      </c>
      <c r="D326" s="6">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37</v>
      </c>
      <c r="D327" s="6">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6">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37</v>
      </c>
      <c r="D329" s="6">
        <v>30000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37</v>
      </c>
      <c r="D330" s="6">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6">
        <v>90000</v>
      </c>
      <c r="E331">
        <v>5</v>
      </c>
      <c r="F331" t="s">
        <v>29</v>
      </c>
      <c r="G331" t="s">
        <v>14</v>
      </c>
      <c r="H331" t="s">
        <v>15</v>
      </c>
      <c r="I331">
        <v>2</v>
      </c>
      <c r="J331" t="s">
        <v>46</v>
      </c>
      <c r="K331" t="s">
        <v>17</v>
      </c>
      <c r="L331">
        <v>59</v>
      </c>
      <c r="M331" t="str">
        <f t="shared" si="5"/>
        <v>Old</v>
      </c>
      <c r="N331" t="s">
        <v>18</v>
      </c>
    </row>
    <row r="332" spans="1:14" x14ac:dyDescent="0.3">
      <c r="A332">
        <v>24898</v>
      </c>
      <c r="B332" t="s">
        <v>39</v>
      </c>
      <c r="C332" t="s">
        <v>38</v>
      </c>
      <c r="D332" s="6">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37</v>
      </c>
      <c r="D333" s="6">
        <v>10000</v>
      </c>
      <c r="E333">
        <v>0</v>
      </c>
      <c r="F333" t="s">
        <v>29</v>
      </c>
      <c r="G333" t="s">
        <v>25</v>
      </c>
      <c r="H333" t="s">
        <v>18</v>
      </c>
      <c r="I333">
        <v>2</v>
      </c>
      <c r="J333" t="s">
        <v>16</v>
      </c>
      <c r="K333" t="s">
        <v>17</v>
      </c>
      <c r="L333">
        <v>30</v>
      </c>
      <c r="M333" t="str">
        <f t="shared" si="5"/>
        <v>Adolescent</v>
      </c>
      <c r="N333" t="s">
        <v>18</v>
      </c>
    </row>
    <row r="334" spans="1:14" x14ac:dyDescent="0.3">
      <c r="A334">
        <v>11489</v>
      </c>
      <c r="B334" t="s">
        <v>39</v>
      </c>
      <c r="C334" t="s">
        <v>38</v>
      </c>
      <c r="D334" s="6">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37</v>
      </c>
      <c r="D335" s="6">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37</v>
      </c>
      <c r="D336" s="6">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37</v>
      </c>
      <c r="D337" s="6">
        <v>80000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37</v>
      </c>
      <c r="D338" s="6">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37</v>
      </c>
      <c r="D339" s="6">
        <v>10000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38</v>
      </c>
      <c r="D340" s="6">
        <v>120000</v>
      </c>
      <c r="E340">
        <v>3</v>
      </c>
      <c r="F340" t="s">
        <v>27</v>
      </c>
      <c r="G340" t="s">
        <v>21</v>
      </c>
      <c r="H340" t="s">
        <v>15</v>
      </c>
      <c r="I340">
        <v>4</v>
      </c>
      <c r="J340" t="s">
        <v>23</v>
      </c>
      <c r="K340" t="s">
        <v>17</v>
      </c>
      <c r="L340">
        <v>50</v>
      </c>
      <c r="M340" t="str">
        <f t="shared" si="5"/>
        <v>Old</v>
      </c>
      <c r="N340" t="s">
        <v>15</v>
      </c>
    </row>
    <row r="341" spans="1:14" x14ac:dyDescent="0.3">
      <c r="A341">
        <v>14554</v>
      </c>
      <c r="B341" t="s">
        <v>36</v>
      </c>
      <c r="C341" t="s">
        <v>37</v>
      </c>
      <c r="D341" s="6">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37</v>
      </c>
      <c r="D342" s="6">
        <v>30000</v>
      </c>
      <c r="E342">
        <v>0</v>
      </c>
      <c r="F342" t="s">
        <v>19</v>
      </c>
      <c r="G342" t="s">
        <v>20</v>
      </c>
      <c r="H342" t="s">
        <v>15</v>
      </c>
      <c r="I342">
        <v>1</v>
      </c>
      <c r="J342" t="s">
        <v>22</v>
      </c>
      <c r="K342" t="s">
        <v>17</v>
      </c>
      <c r="L342">
        <v>30</v>
      </c>
      <c r="M342" t="str">
        <f t="shared" si="5"/>
        <v>Adolescent</v>
      </c>
      <c r="N342" t="s">
        <v>18</v>
      </c>
    </row>
    <row r="343" spans="1:14" x14ac:dyDescent="0.3">
      <c r="A343">
        <v>19174</v>
      </c>
      <c r="B343" t="s">
        <v>39</v>
      </c>
      <c r="C343" t="s">
        <v>38</v>
      </c>
      <c r="D343" s="6">
        <v>30000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37</v>
      </c>
      <c r="D344" s="6">
        <v>10000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38</v>
      </c>
      <c r="D345" s="6">
        <v>30000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37</v>
      </c>
      <c r="D346" s="6">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6">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37</v>
      </c>
      <c r="D348" s="6">
        <v>40000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38</v>
      </c>
      <c r="D349" s="6">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37</v>
      </c>
      <c r="D350" s="6">
        <v>20000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38</v>
      </c>
      <c r="D351" s="6">
        <v>30000</v>
      </c>
      <c r="E351">
        <v>0</v>
      </c>
      <c r="F351" t="s">
        <v>19</v>
      </c>
      <c r="G351" t="s">
        <v>20</v>
      </c>
      <c r="H351" t="s">
        <v>18</v>
      </c>
      <c r="I351">
        <v>1</v>
      </c>
      <c r="J351" t="s">
        <v>16</v>
      </c>
      <c r="K351" t="s">
        <v>17</v>
      </c>
      <c r="L351">
        <v>29</v>
      </c>
      <c r="M351" t="str">
        <f t="shared" si="5"/>
        <v>Adolescent</v>
      </c>
      <c r="N351" t="s">
        <v>15</v>
      </c>
    </row>
    <row r="352" spans="1:14" x14ac:dyDescent="0.3">
      <c r="A352">
        <v>27878</v>
      </c>
      <c r="B352" t="s">
        <v>39</v>
      </c>
      <c r="C352" t="s">
        <v>37</v>
      </c>
      <c r="D352" s="6">
        <v>20000</v>
      </c>
      <c r="E352">
        <v>0</v>
      </c>
      <c r="F352" t="s">
        <v>19</v>
      </c>
      <c r="G352" t="s">
        <v>25</v>
      </c>
      <c r="H352" t="s">
        <v>18</v>
      </c>
      <c r="I352">
        <v>0</v>
      </c>
      <c r="J352" t="s">
        <v>16</v>
      </c>
      <c r="K352" t="s">
        <v>24</v>
      </c>
      <c r="L352">
        <v>28</v>
      </c>
      <c r="M352" t="str">
        <f t="shared" si="5"/>
        <v>Adolescent</v>
      </c>
      <c r="N352" t="s">
        <v>15</v>
      </c>
    </row>
    <row r="353" spans="1:14" x14ac:dyDescent="0.3">
      <c r="A353">
        <v>13572</v>
      </c>
      <c r="B353" t="s">
        <v>39</v>
      </c>
      <c r="C353" t="s">
        <v>37</v>
      </c>
      <c r="D353" s="6">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6">
        <v>80000</v>
      </c>
      <c r="E354">
        <v>4</v>
      </c>
      <c r="F354" t="s">
        <v>19</v>
      </c>
      <c r="G354" t="s">
        <v>21</v>
      </c>
      <c r="H354" t="s">
        <v>15</v>
      </c>
      <c r="I354">
        <v>2</v>
      </c>
      <c r="J354" t="s">
        <v>22</v>
      </c>
      <c r="K354" t="s">
        <v>17</v>
      </c>
      <c r="L354">
        <v>53</v>
      </c>
      <c r="M354" t="str">
        <f t="shared" si="5"/>
        <v>Old</v>
      </c>
      <c r="N354" t="s">
        <v>18</v>
      </c>
    </row>
    <row r="355" spans="1:14" x14ac:dyDescent="0.3">
      <c r="A355">
        <v>26354</v>
      </c>
      <c r="B355" t="s">
        <v>39</v>
      </c>
      <c r="C355" t="s">
        <v>37</v>
      </c>
      <c r="D355" s="6">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37</v>
      </c>
      <c r="D356" s="6">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37</v>
      </c>
      <c r="D357" s="6">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6">
        <v>150000</v>
      </c>
      <c r="E358">
        <v>3</v>
      </c>
      <c r="F358" t="s">
        <v>27</v>
      </c>
      <c r="G358" t="s">
        <v>21</v>
      </c>
      <c r="H358" t="s">
        <v>15</v>
      </c>
      <c r="I358">
        <v>3</v>
      </c>
      <c r="J358" t="s">
        <v>16</v>
      </c>
      <c r="K358" t="s">
        <v>17</v>
      </c>
      <c r="L358">
        <v>51</v>
      </c>
      <c r="M358" t="str">
        <f t="shared" si="5"/>
        <v>Old</v>
      </c>
      <c r="N358" t="s">
        <v>15</v>
      </c>
    </row>
    <row r="359" spans="1:14" x14ac:dyDescent="0.3">
      <c r="A359">
        <v>22538</v>
      </c>
      <c r="B359" t="s">
        <v>39</v>
      </c>
      <c r="C359" t="s">
        <v>38</v>
      </c>
      <c r="D359" s="6">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37</v>
      </c>
      <c r="D360" s="6">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37</v>
      </c>
      <c r="D361" s="6">
        <v>80000</v>
      </c>
      <c r="E361">
        <v>0</v>
      </c>
      <c r="F361" t="s">
        <v>13</v>
      </c>
      <c r="G361" t="s">
        <v>21</v>
      </c>
      <c r="H361" t="s">
        <v>15</v>
      </c>
      <c r="I361">
        <v>3</v>
      </c>
      <c r="J361" t="s">
        <v>46</v>
      </c>
      <c r="K361" t="s">
        <v>24</v>
      </c>
      <c r="L361">
        <v>30</v>
      </c>
      <c r="M361" t="str">
        <f t="shared" si="5"/>
        <v>Adolescent</v>
      </c>
      <c r="N361" t="s">
        <v>18</v>
      </c>
    </row>
    <row r="362" spans="1:14" x14ac:dyDescent="0.3">
      <c r="A362">
        <v>13082</v>
      </c>
      <c r="B362" t="s">
        <v>39</v>
      </c>
      <c r="C362" t="s">
        <v>37</v>
      </c>
      <c r="D362" s="6">
        <v>130000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38</v>
      </c>
      <c r="D363" s="6">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37</v>
      </c>
      <c r="D364" s="6">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6">
        <v>40000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38</v>
      </c>
      <c r="D366" s="6">
        <v>10000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38</v>
      </c>
      <c r="D367" s="6">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37</v>
      </c>
      <c r="D368" s="6">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6">
        <v>130000</v>
      </c>
      <c r="E369">
        <v>3</v>
      </c>
      <c r="F369" t="s">
        <v>19</v>
      </c>
      <c r="G369" t="s">
        <v>21</v>
      </c>
      <c r="H369" t="s">
        <v>15</v>
      </c>
      <c r="I369">
        <v>3</v>
      </c>
      <c r="J369" t="s">
        <v>23</v>
      </c>
      <c r="K369" t="s">
        <v>17</v>
      </c>
      <c r="L369">
        <v>50</v>
      </c>
      <c r="M369" t="str">
        <f t="shared" si="5"/>
        <v>Old</v>
      </c>
      <c r="N369" t="s">
        <v>15</v>
      </c>
    </row>
    <row r="370" spans="1:14" x14ac:dyDescent="0.3">
      <c r="A370">
        <v>25918</v>
      </c>
      <c r="B370" t="s">
        <v>39</v>
      </c>
      <c r="C370" t="s">
        <v>38</v>
      </c>
      <c r="D370" s="6">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38</v>
      </c>
      <c r="D371" s="6">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6">
        <v>100000</v>
      </c>
      <c r="E372">
        <v>4</v>
      </c>
      <c r="F372" t="s">
        <v>13</v>
      </c>
      <c r="G372" t="s">
        <v>21</v>
      </c>
      <c r="H372" t="s">
        <v>15</v>
      </c>
      <c r="I372">
        <v>1</v>
      </c>
      <c r="J372" t="s">
        <v>46</v>
      </c>
      <c r="K372" t="s">
        <v>24</v>
      </c>
      <c r="L372">
        <v>46</v>
      </c>
      <c r="M372" t="str">
        <f t="shared" si="5"/>
        <v>Middle Age</v>
      </c>
      <c r="N372" t="s">
        <v>18</v>
      </c>
    </row>
    <row r="373" spans="1:14" x14ac:dyDescent="0.3">
      <c r="A373">
        <v>22918</v>
      </c>
      <c r="B373" t="s">
        <v>39</v>
      </c>
      <c r="C373" t="s">
        <v>37</v>
      </c>
      <c r="D373" s="6">
        <v>80000</v>
      </c>
      <c r="E373">
        <v>5</v>
      </c>
      <c r="F373" t="s">
        <v>31</v>
      </c>
      <c r="G373" t="s">
        <v>28</v>
      </c>
      <c r="H373" t="s">
        <v>15</v>
      </c>
      <c r="I373">
        <v>3</v>
      </c>
      <c r="J373" t="s">
        <v>16</v>
      </c>
      <c r="K373" t="s">
        <v>24</v>
      </c>
      <c r="L373">
        <v>50</v>
      </c>
      <c r="M373" t="str">
        <f t="shared" si="5"/>
        <v>Old</v>
      </c>
      <c r="N373" t="s">
        <v>18</v>
      </c>
    </row>
    <row r="374" spans="1:14" x14ac:dyDescent="0.3">
      <c r="A374">
        <v>12510</v>
      </c>
      <c r="B374" t="s">
        <v>36</v>
      </c>
      <c r="C374" t="s">
        <v>37</v>
      </c>
      <c r="D374" s="6">
        <v>40000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37</v>
      </c>
      <c r="D375" s="6">
        <v>20000</v>
      </c>
      <c r="E375">
        <v>0</v>
      </c>
      <c r="F375" t="s">
        <v>27</v>
      </c>
      <c r="G375" t="s">
        <v>25</v>
      </c>
      <c r="H375" t="s">
        <v>18</v>
      </c>
      <c r="I375">
        <v>1</v>
      </c>
      <c r="J375" t="s">
        <v>22</v>
      </c>
      <c r="K375" t="s">
        <v>17</v>
      </c>
      <c r="L375">
        <v>30</v>
      </c>
      <c r="M375" t="str">
        <f t="shared" si="5"/>
        <v>Adolescent</v>
      </c>
      <c r="N375" t="s">
        <v>18</v>
      </c>
    </row>
    <row r="376" spans="1:14" x14ac:dyDescent="0.3">
      <c r="A376">
        <v>16179</v>
      </c>
      <c r="B376" t="s">
        <v>39</v>
      </c>
      <c r="C376" t="s">
        <v>38</v>
      </c>
      <c r="D376" s="6">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6">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37</v>
      </c>
      <c r="D378" s="6">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37</v>
      </c>
      <c r="D379" s="6">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37</v>
      </c>
      <c r="D380" s="6">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37</v>
      </c>
      <c r="D381" s="6">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37</v>
      </c>
      <c r="D382" s="6">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6">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37</v>
      </c>
      <c r="D384" s="6">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37</v>
      </c>
      <c r="D385" s="6">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38</v>
      </c>
      <c r="D386" s="6">
        <v>10000</v>
      </c>
      <c r="E386">
        <v>0</v>
      </c>
      <c r="F386" t="s">
        <v>19</v>
      </c>
      <c r="G386" t="s">
        <v>25</v>
      </c>
      <c r="H386" t="s">
        <v>18</v>
      </c>
      <c r="I386">
        <v>1</v>
      </c>
      <c r="J386" t="s">
        <v>16</v>
      </c>
      <c r="K386" t="s">
        <v>24</v>
      </c>
      <c r="L386">
        <v>28</v>
      </c>
      <c r="M386" t="str">
        <f t="shared" ref="M386:M449" si="6">IF(L386&gt;=50,"Old",IF(L386&gt;=31,"Middle Age",IF(L386&lt;31,"Adolescent","Invalid")))</f>
        <v>Adolescent</v>
      </c>
      <c r="N386" t="s">
        <v>15</v>
      </c>
    </row>
    <row r="387" spans="1:14" x14ac:dyDescent="0.3">
      <c r="A387">
        <v>18018</v>
      </c>
      <c r="B387" t="s">
        <v>39</v>
      </c>
      <c r="C387" t="s">
        <v>37</v>
      </c>
      <c r="D387" s="6">
        <v>30000</v>
      </c>
      <c r="E387">
        <v>3</v>
      </c>
      <c r="F387" t="s">
        <v>19</v>
      </c>
      <c r="G387" t="s">
        <v>20</v>
      </c>
      <c r="H387" t="s">
        <v>15</v>
      </c>
      <c r="I387">
        <v>0</v>
      </c>
      <c r="J387" t="s">
        <v>16</v>
      </c>
      <c r="K387" t="s">
        <v>17</v>
      </c>
      <c r="L387">
        <v>43</v>
      </c>
      <c r="M387" t="str">
        <f t="shared" si="6"/>
        <v>Middle Age</v>
      </c>
      <c r="N387" t="s">
        <v>18</v>
      </c>
    </row>
    <row r="388" spans="1:14" x14ac:dyDescent="0.3">
      <c r="A388">
        <v>28957</v>
      </c>
      <c r="B388" t="s">
        <v>39</v>
      </c>
      <c r="C388" t="s">
        <v>38</v>
      </c>
      <c r="D388" s="6">
        <v>120000</v>
      </c>
      <c r="E388">
        <v>0</v>
      </c>
      <c r="F388" t="s">
        <v>29</v>
      </c>
      <c r="G388" t="s">
        <v>21</v>
      </c>
      <c r="H388" t="s">
        <v>15</v>
      </c>
      <c r="I388">
        <v>4</v>
      </c>
      <c r="J388" t="s">
        <v>46</v>
      </c>
      <c r="K388" t="s">
        <v>24</v>
      </c>
      <c r="L388">
        <v>34</v>
      </c>
      <c r="M388" t="str">
        <f t="shared" si="6"/>
        <v>Middle Age</v>
      </c>
      <c r="N388" t="s">
        <v>15</v>
      </c>
    </row>
    <row r="389" spans="1:14" x14ac:dyDescent="0.3">
      <c r="A389">
        <v>13690</v>
      </c>
      <c r="B389" t="s">
        <v>39</v>
      </c>
      <c r="C389" t="s">
        <v>38</v>
      </c>
      <c r="D389" s="6">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6">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6">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37</v>
      </c>
      <c r="D392" s="6">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38</v>
      </c>
      <c r="D393" s="6">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37</v>
      </c>
      <c r="D394" s="6">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6">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6">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37</v>
      </c>
      <c r="D397" s="6">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37</v>
      </c>
      <c r="D398" s="6">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6">
        <v>10000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37</v>
      </c>
      <c r="D400" s="6">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38</v>
      </c>
      <c r="D401" s="6">
        <v>40000</v>
      </c>
      <c r="E401">
        <v>2</v>
      </c>
      <c r="F401" t="s">
        <v>13</v>
      </c>
      <c r="G401" t="s">
        <v>28</v>
      </c>
      <c r="H401" t="s">
        <v>18</v>
      </c>
      <c r="I401">
        <v>1</v>
      </c>
      <c r="J401" t="s">
        <v>23</v>
      </c>
      <c r="K401" t="s">
        <v>24</v>
      </c>
      <c r="L401">
        <v>53</v>
      </c>
      <c r="M401" t="str">
        <f t="shared" si="6"/>
        <v>Old</v>
      </c>
      <c r="N401" t="s">
        <v>15</v>
      </c>
    </row>
    <row r="402" spans="1:14" x14ac:dyDescent="0.3">
      <c r="A402">
        <v>25792</v>
      </c>
      <c r="B402" t="s">
        <v>39</v>
      </c>
      <c r="C402" t="s">
        <v>38</v>
      </c>
      <c r="D402" s="6">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38</v>
      </c>
      <c r="D403" s="6">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37</v>
      </c>
      <c r="D404" s="6">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37</v>
      </c>
      <c r="D405" s="6">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37</v>
      </c>
      <c r="D406" s="6">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6">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6">
        <v>40000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38</v>
      </c>
      <c r="D409" s="6">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38</v>
      </c>
      <c r="D410" s="6">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6">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6">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37</v>
      </c>
      <c r="D413" s="6">
        <v>70000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37</v>
      </c>
      <c r="D414" s="6">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38</v>
      </c>
      <c r="D415" s="6">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6">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6">
        <v>80000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37</v>
      </c>
      <c r="D418" s="6">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38</v>
      </c>
      <c r="D419" s="6">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37</v>
      </c>
      <c r="D420" s="6">
        <v>30000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37</v>
      </c>
      <c r="D421" s="6">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6">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37</v>
      </c>
      <c r="D423" s="6">
        <v>10000</v>
      </c>
      <c r="E423">
        <v>2</v>
      </c>
      <c r="F423" t="s">
        <v>19</v>
      </c>
      <c r="G423" t="s">
        <v>25</v>
      </c>
      <c r="H423" t="s">
        <v>15</v>
      </c>
      <c r="I423">
        <v>0</v>
      </c>
      <c r="J423" t="s">
        <v>26</v>
      </c>
      <c r="K423" t="s">
        <v>17</v>
      </c>
      <c r="L423">
        <v>51</v>
      </c>
      <c r="M423" t="str">
        <f t="shared" si="6"/>
        <v>Old</v>
      </c>
      <c r="N423" t="s">
        <v>18</v>
      </c>
    </row>
    <row r="424" spans="1:14" x14ac:dyDescent="0.3">
      <c r="A424">
        <v>24901</v>
      </c>
      <c r="B424" t="s">
        <v>39</v>
      </c>
      <c r="C424" t="s">
        <v>37</v>
      </c>
      <c r="D424" s="6">
        <v>110000</v>
      </c>
      <c r="E424">
        <v>0</v>
      </c>
      <c r="F424" t="s">
        <v>19</v>
      </c>
      <c r="G424" t="s">
        <v>28</v>
      </c>
      <c r="H424" t="s">
        <v>18</v>
      </c>
      <c r="I424">
        <v>3</v>
      </c>
      <c r="J424" t="s">
        <v>46</v>
      </c>
      <c r="K424" t="s">
        <v>24</v>
      </c>
      <c r="L424">
        <v>32</v>
      </c>
      <c r="M424" t="str">
        <f t="shared" si="6"/>
        <v>Middle Age</v>
      </c>
      <c r="N424" t="s">
        <v>15</v>
      </c>
    </row>
    <row r="425" spans="1:14" x14ac:dyDescent="0.3">
      <c r="A425">
        <v>27169</v>
      </c>
      <c r="B425" t="s">
        <v>39</v>
      </c>
      <c r="C425" t="s">
        <v>37</v>
      </c>
      <c r="D425" s="6">
        <v>30000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38</v>
      </c>
      <c r="D426" s="6">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37</v>
      </c>
      <c r="D427" s="6">
        <v>40000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37</v>
      </c>
      <c r="D428" s="6">
        <v>30000</v>
      </c>
      <c r="E428">
        <v>0</v>
      </c>
      <c r="F428" t="s">
        <v>19</v>
      </c>
      <c r="G428" t="s">
        <v>20</v>
      </c>
      <c r="H428" t="s">
        <v>18</v>
      </c>
      <c r="I428">
        <v>1</v>
      </c>
      <c r="J428" t="s">
        <v>22</v>
      </c>
      <c r="K428" t="s">
        <v>17</v>
      </c>
      <c r="L428">
        <v>28</v>
      </c>
      <c r="M428" t="str">
        <f t="shared" si="6"/>
        <v>Adolescent</v>
      </c>
      <c r="N428" t="s">
        <v>18</v>
      </c>
    </row>
    <row r="429" spans="1:14" x14ac:dyDescent="0.3">
      <c r="A429">
        <v>17048</v>
      </c>
      <c r="B429" t="s">
        <v>39</v>
      </c>
      <c r="C429" t="s">
        <v>38</v>
      </c>
      <c r="D429" s="6">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37</v>
      </c>
      <c r="D430" s="6">
        <v>110000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38</v>
      </c>
      <c r="D431" s="6">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38</v>
      </c>
      <c r="D432" s="6">
        <v>30000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37</v>
      </c>
      <c r="D433" s="6">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6">
        <v>110000</v>
      </c>
      <c r="E434">
        <v>0</v>
      </c>
      <c r="F434" t="s">
        <v>27</v>
      </c>
      <c r="G434" t="s">
        <v>28</v>
      </c>
      <c r="H434" t="s">
        <v>15</v>
      </c>
      <c r="I434">
        <v>3</v>
      </c>
      <c r="J434" t="s">
        <v>46</v>
      </c>
      <c r="K434" t="s">
        <v>24</v>
      </c>
      <c r="L434">
        <v>34</v>
      </c>
      <c r="M434" t="str">
        <f t="shared" si="6"/>
        <v>Middle Age</v>
      </c>
      <c r="N434" t="s">
        <v>15</v>
      </c>
    </row>
    <row r="435" spans="1:14" x14ac:dyDescent="0.3">
      <c r="A435">
        <v>27814</v>
      </c>
      <c r="B435" t="s">
        <v>39</v>
      </c>
      <c r="C435" t="s">
        <v>38</v>
      </c>
      <c r="D435" s="6">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6">
        <v>30000</v>
      </c>
      <c r="E436">
        <v>3</v>
      </c>
      <c r="F436" t="s">
        <v>27</v>
      </c>
      <c r="G436" t="s">
        <v>14</v>
      </c>
      <c r="H436" t="s">
        <v>15</v>
      </c>
      <c r="I436">
        <v>2</v>
      </c>
      <c r="J436" t="s">
        <v>23</v>
      </c>
      <c r="K436" t="s">
        <v>24</v>
      </c>
      <c r="L436">
        <v>53</v>
      </c>
      <c r="M436" t="str">
        <f t="shared" si="6"/>
        <v>Old</v>
      </c>
      <c r="N436" t="s">
        <v>15</v>
      </c>
    </row>
    <row r="437" spans="1:14" x14ac:dyDescent="0.3">
      <c r="A437">
        <v>29447</v>
      </c>
      <c r="B437" t="s">
        <v>39</v>
      </c>
      <c r="C437" t="s">
        <v>38</v>
      </c>
      <c r="D437" s="6">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6">
        <v>80000</v>
      </c>
      <c r="E438">
        <v>2</v>
      </c>
      <c r="F438" t="s">
        <v>27</v>
      </c>
      <c r="G438" t="s">
        <v>14</v>
      </c>
      <c r="H438" t="s">
        <v>15</v>
      </c>
      <c r="I438">
        <v>2</v>
      </c>
      <c r="J438" t="s">
        <v>23</v>
      </c>
      <c r="K438" t="s">
        <v>24</v>
      </c>
      <c r="L438">
        <v>50</v>
      </c>
      <c r="M438" t="str">
        <f t="shared" si="6"/>
        <v>Old</v>
      </c>
      <c r="N438" t="s">
        <v>15</v>
      </c>
    </row>
    <row r="439" spans="1:14" x14ac:dyDescent="0.3">
      <c r="A439">
        <v>27824</v>
      </c>
      <c r="B439" t="s">
        <v>39</v>
      </c>
      <c r="C439" t="s">
        <v>38</v>
      </c>
      <c r="D439" s="6">
        <v>30000</v>
      </c>
      <c r="E439">
        <v>3</v>
      </c>
      <c r="F439" t="s">
        <v>19</v>
      </c>
      <c r="G439" t="s">
        <v>20</v>
      </c>
      <c r="H439" t="s">
        <v>15</v>
      </c>
      <c r="I439">
        <v>2</v>
      </c>
      <c r="J439" t="s">
        <v>16</v>
      </c>
      <c r="K439" t="s">
        <v>17</v>
      </c>
      <c r="L439">
        <v>28</v>
      </c>
      <c r="M439" t="str">
        <f t="shared" si="6"/>
        <v>Adolescent</v>
      </c>
      <c r="N439" t="s">
        <v>15</v>
      </c>
    </row>
    <row r="440" spans="1:14" x14ac:dyDescent="0.3">
      <c r="A440">
        <v>24093</v>
      </c>
      <c r="B440" t="s">
        <v>39</v>
      </c>
      <c r="C440" t="s">
        <v>38</v>
      </c>
      <c r="D440" s="6">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37</v>
      </c>
      <c r="D441" s="6">
        <v>70000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37</v>
      </c>
      <c r="D442" s="6">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37</v>
      </c>
      <c r="D443" s="6">
        <v>70000</v>
      </c>
      <c r="E443">
        <v>2</v>
      </c>
      <c r="F443" t="s">
        <v>19</v>
      </c>
      <c r="G443" t="s">
        <v>14</v>
      </c>
      <c r="H443" t="s">
        <v>15</v>
      </c>
      <c r="I443">
        <v>2</v>
      </c>
      <c r="J443" t="s">
        <v>23</v>
      </c>
      <c r="K443" t="s">
        <v>24</v>
      </c>
      <c r="L443">
        <v>52</v>
      </c>
      <c r="M443" t="str">
        <f t="shared" si="6"/>
        <v>Old</v>
      </c>
      <c r="N443" t="s">
        <v>15</v>
      </c>
    </row>
    <row r="444" spans="1:14" x14ac:dyDescent="0.3">
      <c r="A444">
        <v>26651</v>
      </c>
      <c r="B444" t="s">
        <v>39</v>
      </c>
      <c r="C444" t="s">
        <v>37</v>
      </c>
      <c r="D444" s="6">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6">
        <v>40000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37</v>
      </c>
      <c r="D446" s="6">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6">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6">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6">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6">
        <v>30000</v>
      </c>
      <c r="E450">
        <v>3</v>
      </c>
      <c r="F450" t="s">
        <v>31</v>
      </c>
      <c r="G450" t="s">
        <v>20</v>
      </c>
      <c r="H450" t="s">
        <v>15</v>
      </c>
      <c r="I450">
        <v>0</v>
      </c>
      <c r="J450" t="s">
        <v>16</v>
      </c>
      <c r="K450" t="s">
        <v>17</v>
      </c>
      <c r="L450">
        <v>46</v>
      </c>
      <c r="M450" t="str">
        <f t="shared" ref="M450:M513" si="7">IF(L450&gt;=50,"Old",IF(L450&gt;=31,"Middle Age",IF(L450&lt;31,"Adolescent","Invalid")))</f>
        <v>Middle Age</v>
      </c>
      <c r="N450" t="s">
        <v>18</v>
      </c>
    </row>
    <row r="451" spans="1:14" x14ac:dyDescent="0.3">
      <c r="A451">
        <v>12497</v>
      </c>
      <c r="B451" t="s">
        <v>36</v>
      </c>
      <c r="C451" t="s">
        <v>38</v>
      </c>
      <c r="D451" s="6">
        <v>40000</v>
      </c>
      <c r="E451">
        <v>1</v>
      </c>
      <c r="F451" t="s">
        <v>13</v>
      </c>
      <c r="G451" t="s">
        <v>14</v>
      </c>
      <c r="H451" t="s">
        <v>15</v>
      </c>
      <c r="I451">
        <v>0</v>
      </c>
      <c r="J451" t="s">
        <v>16</v>
      </c>
      <c r="K451" t="s">
        <v>17</v>
      </c>
      <c r="L451">
        <v>42</v>
      </c>
      <c r="M451" t="str">
        <f t="shared" si="7"/>
        <v>Middle Age</v>
      </c>
      <c r="N451" t="s">
        <v>18</v>
      </c>
    </row>
    <row r="452" spans="1:14" x14ac:dyDescent="0.3">
      <c r="A452">
        <v>16559</v>
      </c>
      <c r="B452" t="s">
        <v>39</v>
      </c>
      <c r="C452" t="s">
        <v>38</v>
      </c>
      <c r="D452" s="6">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6">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6">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38</v>
      </c>
      <c r="D455" s="6">
        <v>70000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37</v>
      </c>
      <c r="D456" s="6">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6">
        <v>80000</v>
      </c>
      <c r="E457">
        <v>4</v>
      </c>
      <c r="F457" t="s">
        <v>19</v>
      </c>
      <c r="G457" t="s">
        <v>21</v>
      </c>
      <c r="H457" t="s">
        <v>18</v>
      </c>
      <c r="I457">
        <v>1</v>
      </c>
      <c r="J457" t="s">
        <v>22</v>
      </c>
      <c r="K457" t="s">
        <v>17</v>
      </c>
      <c r="L457">
        <v>53</v>
      </c>
      <c r="M457" t="str">
        <f t="shared" si="7"/>
        <v>Old</v>
      </c>
      <c r="N457" t="s">
        <v>15</v>
      </c>
    </row>
    <row r="458" spans="1:14" x14ac:dyDescent="0.3">
      <c r="A458">
        <v>26385</v>
      </c>
      <c r="B458" t="s">
        <v>39</v>
      </c>
      <c r="C458" t="s">
        <v>37</v>
      </c>
      <c r="D458" s="6">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38</v>
      </c>
      <c r="D459" s="6">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37</v>
      </c>
      <c r="D460" s="6">
        <v>120000</v>
      </c>
      <c r="E460">
        <v>0</v>
      </c>
      <c r="F460" t="s">
        <v>29</v>
      </c>
      <c r="G460" t="s">
        <v>21</v>
      </c>
      <c r="H460" t="s">
        <v>15</v>
      </c>
      <c r="I460">
        <v>4</v>
      </c>
      <c r="J460" t="s">
        <v>46</v>
      </c>
      <c r="K460" t="s">
        <v>24</v>
      </c>
      <c r="L460">
        <v>32</v>
      </c>
      <c r="M460" t="str">
        <f t="shared" si="7"/>
        <v>Middle Age</v>
      </c>
      <c r="N460" t="s">
        <v>15</v>
      </c>
    </row>
    <row r="461" spans="1:14" x14ac:dyDescent="0.3">
      <c r="A461">
        <v>21554</v>
      </c>
      <c r="B461" t="s">
        <v>39</v>
      </c>
      <c r="C461" t="s">
        <v>38</v>
      </c>
      <c r="D461" s="6">
        <v>80000</v>
      </c>
      <c r="E461">
        <v>0</v>
      </c>
      <c r="F461" t="s">
        <v>13</v>
      </c>
      <c r="G461" t="s">
        <v>21</v>
      </c>
      <c r="H461" t="s">
        <v>18</v>
      </c>
      <c r="I461">
        <v>3</v>
      </c>
      <c r="J461" t="s">
        <v>46</v>
      </c>
      <c r="K461" t="s">
        <v>24</v>
      </c>
      <c r="L461">
        <v>33</v>
      </c>
      <c r="M461" t="str">
        <f t="shared" si="7"/>
        <v>Middle Age</v>
      </c>
      <c r="N461" t="s">
        <v>18</v>
      </c>
    </row>
    <row r="462" spans="1:14" x14ac:dyDescent="0.3">
      <c r="A462">
        <v>13662</v>
      </c>
      <c r="B462" t="s">
        <v>39</v>
      </c>
      <c r="C462" t="s">
        <v>37</v>
      </c>
      <c r="D462" s="6">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6">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6">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37</v>
      </c>
      <c r="D465" s="6">
        <v>20000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38</v>
      </c>
      <c r="D466" s="6">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37</v>
      </c>
      <c r="D467" s="6">
        <v>40000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38</v>
      </c>
      <c r="D468" s="6">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37</v>
      </c>
      <c r="D469" s="6">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6">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6">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37</v>
      </c>
      <c r="D472" s="6">
        <v>30000</v>
      </c>
      <c r="E472">
        <v>0</v>
      </c>
      <c r="F472" t="s">
        <v>27</v>
      </c>
      <c r="G472" t="s">
        <v>25</v>
      </c>
      <c r="H472" t="s">
        <v>18</v>
      </c>
      <c r="I472">
        <v>1</v>
      </c>
      <c r="J472" t="s">
        <v>26</v>
      </c>
      <c r="K472" t="s">
        <v>17</v>
      </c>
      <c r="L472">
        <v>28</v>
      </c>
      <c r="M472" t="str">
        <f t="shared" si="7"/>
        <v>Adolescent</v>
      </c>
      <c r="N472" t="s">
        <v>18</v>
      </c>
    </row>
    <row r="473" spans="1:14" x14ac:dyDescent="0.3">
      <c r="A473">
        <v>28323</v>
      </c>
      <c r="B473" t="s">
        <v>39</v>
      </c>
      <c r="C473" t="s">
        <v>37</v>
      </c>
      <c r="D473" s="6">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38</v>
      </c>
      <c r="D474" s="6">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6">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6">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37</v>
      </c>
      <c r="D477" s="6">
        <v>20000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38</v>
      </c>
      <c r="D478" s="6">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37</v>
      </c>
      <c r="D479" s="6">
        <v>70000</v>
      </c>
      <c r="E479">
        <v>2</v>
      </c>
      <c r="F479" t="s">
        <v>27</v>
      </c>
      <c r="G479" t="s">
        <v>14</v>
      </c>
      <c r="H479" t="s">
        <v>18</v>
      </c>
      <c r="I479">
        <v>2</v>
      </c>
      <c r="J479" t="s">
        <v>26</v>
      </c>
      <c r="K479" t="s">
        <v>24</v>
      </c>
      <c r="L479">
        <v>50</v>
      </c>
      <c r="M479" t="str">
        <f t="shared" si="7"/>
        <v>Old</v>
      </c>
      <c r="N479" t="s">
        <v>15</v>
      </c>
    </row>
    <row r="480" spans="1:14" x14ac:dyDescent="0.3">
      <c r="A480">
        <v>22610</v>
      </c>
      <c r="B480" t="s">
        <v>36</v>
      </c>
      <c r="C480" t="s">
        <v>37</v>
      </c>
      <c r="D480" s="6">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37</v>
      </c>
      <c r="D481" s="6">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6">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38</v>
      </c>
      <c r="D483" s="6">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37</v>
      </c>
      <c r="D484" s="6">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37</v>
      </c>
      <c r="D485" s="6">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38</v>
      </c>
      <c r="D486" s="6">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37</v>
      </c>
      <c r="D487" s="6">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6">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37</v>
      </c>
      <c r="D489" s="6">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38</v>
      </c>
      <c r="D490" s="6">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37</v>
      </c>
      <c r="D491" s="6">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37</v>
      </c>
      <c r="D492" s="6">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37</v>
      </c>
      <c r="D493" s="6">
        <v>70000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38</v>
      </c>
      <c r="D494" s="6">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37</v>
      </c>
      <c r="D495" s="6">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37</v>
      </c>
      <c r="D496" s="6">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37</v>
      </c>
      <c r="D497" s="6">
        <v>60000</v>
      </c>
      <c r="E497">
        <v>2</v>
      </c>
      <c r="F497" t="s">
        <v>19</v>
      </c>
      <c r="G497" t="s">
        <v>21</v>
      </c>
      <c r="H497" t="s">
        <v>15</v>
      </c>
      <c r="I497">
        <v>2</v>
      </c>
      <c r="J497" t="s">
        <v>46</v>
      </c>
      <c r="K497" t="s">
        <v>32</v>
      </c>
      <c r="L497">
        <v>56</v>
      </c>
      <c r="M497" t="str">
        <f t="shared" si="7"/>
        <v>Old</v>
      </c>
      <c r="N497" t="s">
        <v>18</v>
      </c>
    </row>
    <row r="498" spans="1:14" x14ac:dyDescent="0.3">
      <c r="A498">
        <v>20678</v>
      </c>
      <c r="B498" t="s">
        <v>39</v>
      </c>
      <c r="C498" t="s">
        <v>38</v>
      </c>
      <c r="D498" s="6">
        <v>60000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38</v>
      </c>
      <c r="D499" s="6">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37</v>
      </c>
      <c r="D500" s="6">
        <v>80000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38</v>
      </c>
      <c r="D501" s="6">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37</v>
      </c>
      <c r="D502" s="6">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6">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37</v>
      </c>
      <c r="D504" s="6">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6">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37</v>
      </c>
      <c r="D506" s="6">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37</v>
      </c>
      <c r="D507" s="6">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6">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6">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37</v>
      </c>
      <c r="D510" s="6">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37</v>
      </c>
      <c r="D511" s="6">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37</v>
      </c>
      <c r="D512" s="6">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37</v>
      </c>
      <c r="D513" s="6">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6">
        <v>60000</v>
      </c>
      <c r="E514">
        <v>1</v>
      </c>
      <c r="F514" t="s">
        <v>19</v>
      </c>
      <c r="G514" t="s">
        <v>14</v>
      </c>
      <c r="H514" t="s">
        <v>15</v>
      </c>
      <c r="I514">
        <v>1</v>
      </c>
      <c r="J514" t="s">
        <v>16</v>
      </c>
      <c r="K514" t="s">
        <v>32</v>
      </c>
      <c r="L514">
        <v>45</v>
      </c>
      <c r="M514" t="str">
        <f t="shared" ref="M514:M577" si="8">IF(L514&gt;=50,"Old",IF(L514&gt;=31,"Middle Age",IF(L514&lt;31,"Adolescent","Invalid")))</f>
        <v>Middle Age</v>
      </c>
      <c r="N514" t="s">
        <v>15</v>
      </c>
    </row>
    <row r="515" spans="1:14" x14ac:dyDescent="0.3">
      <c r="A515">
        <v>13353</v>
      </c>
      <c r="B515" t="s">
        <v>39</v>
      </c>
      <c r="C515" t="s">
        <v>38</v>
      </c>
      <c r="D515" s="6">
        <v>60000</v>
      </c>
      <c r="E515">
        <v>4</v>
      </c>
      <c r="F515" t="s">
        <v>31</v>
      </c>
      <c r="G515" t="s">
        <v>28</v>
      </c>
      <c r="H515" t="s">
        <v>15</v>
      </c>
      <c r="I515">
        <v>2</v>
      </c>
      <c r="J515" t="s">
        <v>46</v>
      </c>
      <c r="K515" t="s">
        <v>32</v>
      </c>
      <c r="L515">
        <v>61</v>
      </c>
      <c r="M515" t="str">
        <f t="shared" si="8"/>
        <v>Old</v>
      </c>
      <c r="N515" t="s">
        <v>15</v>
      </c>
    </row>
    <row r="516" spans="1:14" x14ac:dyDescent="0.3">
      <c r="A516">
        <v>19399</v>
      </c>
      <c r="B516" t="s">
        <v>39</v>
      </c>
      <c r="C516" t="s">
        <v>37</v>
      </c>
      <c r="D516" s="6">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6">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6">
        <v>60000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37</v>
      </c>
      <c r="D519" s="6">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6">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37</v>
      </c>
      <c r="D521" s="6">
        <v>80000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37</v>
      </c>
      <c r="D522" s="6">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37</v>
      </c>
      <c r="D523" s="6">
        <v>40000</v>
      </c>
      <c r="E523">
        <v>4</v>
      </c>
      <c r="F523" t="s">
        <v>27</v>
      </c>
      <c r="G523" t="s">
        <v>21</v>
      </c>
      <c r="H523" t="s">
        <v>15</v>
      </c>
      <c r="I523">
        <v>2</v>
      </c>
      <c r="J523" t="s">
        <v>46</v>
      </c>
      <c r="K523" t="s">
        <v>32</v>
      </c>
      <c r="L523">
        <v>62</v>
      </c>
      <c r="M523" t="str">
        <f t="shared" si="8"/>
        <v>Old</v>
      </c>
      <c r="N523" t="s">
        <v>15</v>
      </c>
    </row>
    <row r="524" spans="1:14" x14ac:dyDescent="0.3">
      <c r="A524">
        <v>19413</v>
      </c>
      <c r="B524" t="s">
        <v>39</v>
      </c>
      <c r="C524" t="s">
        <v>37</v>
      </c>
      <c r="D524" s="6">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37</v>
      </c>
      <c r="D525" s="6">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38</v>
      </c>
      <c r="D526" s="6">
        <v>80000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37</v>
      </c>
      <c r="D527" s="6">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6">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37</v>
      </c>
      <c r="D529" s="6">
        <v>50000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38</v>
      </c>
      <c r="D530" s="6">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37</v>
      </c>
      <c r="D531" s="6">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37</v>
      </c>
      <c r="D532" s="6">
        <v>60000</v>
      </c>
      <c r="E532">
        <v>0</v>
      </c>
      <c r="F532" t="s">
        <v>19</v>
      </c>
      <c r="G532" t="s">
        <v>14</v>
      </c>
      <c r="H532" t="s">
        <v>15</v>
      </c>
      <c r="I532">
        <v>1</v>
      </c>
      <c r="J532" t="s">
        <v>23</v>
      </c>
      <c r="K532" t="s">
        <v>32</v>
      </c>
      <c r="L532">
        <v>27</v>
      </c>
      <c r="M532" t="str">
        <f t="shared" si="8"/>
        <v>Adolescent</v>
      </c>
      <c r="N532" t="s">
        <v>15</v>
      </c>
    </row>
    <row r="533" spans="1:14" x14ac:dyDescent="0.3">
      <c r="A533">
        <v>14092</v>
      </c>
      <c r="B533" t="s">
        <v>39</v>
      </c>
      <c r="C533" t="s">
        <v>37</v>
      </c>
      <c r="D533" s="6">
        <v>30000</v>
      </c>
      <c r="E533">
        <v>0</v>
      </c>
      <c r="F533" t="s">
        <v>29</v>
      </c>
      <c r="G533" t="s">
        <v>20</v>
      </c>
      <c r="H533" t="s">
        <v>15</v>
      </c>
      <c r="I533">
        <v>2</v>
      </c>
      <c r="J533" t="s">
        <v>23</v>
      </c>
      <c r="K533" t="s">
        <v>32</v>
      </c>
      <c r="L533">
        <v>28</v>
      </c>
      <c r="M533" t="str">
        <f t="shared" si="8"/>
        <v>Adolescent</v>
      </c>
      <c r="N533" t="s">
        <v>18</v>
      </c>
    </row>
    <row r="534" spans="1:14" x14ac:dyDescent="0.3">
      <c r="A534">
        <v>29143</v>
      </c>
      <c r="B534" t="s">
        <v>39</v>
      </c>
      <c r="C534" t="s">
        <v>38</v>
      </c>
      <c r="D534" s="6">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37</v>
      </c>
      <c r="D535" s="6">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37</v>
      </c>
      <c r="D536" s="6">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37</v>
      </c>
      <c r="D537" s="6">
        <v>50000</v>
      </c>
      <c r="E537">
        <v>3</v>
      </c>
      <c r="F537" t="s">
        <v>13</v>
      </c>
      <c r="G537" t="s">
        <v>14</v>
      </c>
      <c r="H537" t="s">
        <v>15</v>
      </c>
      <c r="I537">
        <v>3</v>
      </c>
      <c r="J537" t="s">
        <v>46</v>
      </c>
      <c r="K537" t="s">
        <v>32</v>
      </c>
      <c r="L537">
        <v>41</v>
      </c>
      <c r="M537" t="str">
        <f t="shared" si="8"/>
        <v>Middle Age</v>
      </c>
      <c r="N537" t="s">
        <v>18</v>
      </c>
    </row>
    <row r="538" spans="1:14" x14ac:dyDescent="0.3">
      <c r="A538">
        <v>13907</v>
      </c>
      <c r="B538" t="s">
        <v>39</v>
      </c>
      <c r="C538" t="s">
        <v>38</v>
      </c>
      <c r="D538" s="6">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6">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6">
        <v>80000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38</v>
      </c>
      <c r="D541" s="6">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38</v>
      </c>
      <c r="D542" s="6">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37</v>
      </c>
      <c r="D543" s="6">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37</v>
      </c>
      <c r="D544" s="6">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6">
        <v>70000</v>
      </c>
      <c r="E545">
        <v>2</v>
      </c>
      <c r="F545" t="s">
        <v>27</v>
      </c>
      <c r="G545" t="s">
        <v>21</v>
      </c>
      <c r="H545" t="s">
        <v>15</v>
      </c>
      <c r="I545">
        <v>2</v>
      </c>
      <c r="J545" t="s">
        <v>22</v>
      </c>
      <c r="K545" t="s">
        <v>32</v>
      </c>
      <c r="L545">
        <v>53</v>
      </c>
      <c r="M545" t="str">
        <f t="shared" si="8"/>
        <v>Old</v>
      </c>
      <c r="N545" t="s">
        <v>18</v>
      </c>
    </row>
    <row r="546" spans="1:14" x14ac:dyDescent="0.3">
      <c r="A546">
        <v>24397</v>
      </c>
      <c r="B546" t="s">
        <v>39</v>
      </c>
      <c r="C546" t="s">
        <v>37</v>
      </c>
      <c r="D546" s="6">
        <v>120000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37</v>
      </c>
      <c r="D547" s="6">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37</v>
      </c>
      <c r="D548" s="6">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37</v>
      </c>
      <c r="D549" s="6">
        <v>60000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38</v>
      </c>
      <c r="D550" s="6">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6">
        <v>130000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38</v>
      </c>
      <c r="D552" s="6">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6">
        <v>50000</v>
      </c>
      <c r="E553">
        <v>4</v>
      </c>
      <c r="F553" t="s">
        <v>13</v>
      </c>
      <c r="G553" t="s">
        <v>28</v>
      </c>
      <c r="H553" t="s">
        <v>15</v>
      </c>
      <c r="I553">
        <v>2</v>
      </c>
      <c r="J553" t="s">
        <v>46</v>
      </c>
      <c r="K553" t="s">
        <v>32</v>
      </c>
      <c r="L553">
        <v>63</v>
      </c>
      <c r="M553" t="str">
        <f t="shared" si="8"/>
        <v>Old</v>
      </c>
      <c r="N553" t="s">
        <v>18</v>
      </c>
    </row>
    <row r="554" spans="1:14" x14ac:dyDescent="0.3">
      <c r="A554">
        <v>14417</v>
      </c>
      <c r="B554" t="s">
        <v>39</v>
      </c>
      <c r="C554" t="s">
        <v>37</v>
      </c>
      <c r="D554" s="6">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37</v>
      </c>
      <c r="D555" s="6">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6">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37</v>
      </c>
      <c r="D557" s="6">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37</v>
      </c>
      <c r="D558" s="6">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6">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6">
        <v>50000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38</v>
      </c>
      <c r="D561" s="6">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6">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6">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6">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38</v>
      </c>
      <c r="D565" s="6">
        <v>30000</v>
      </c>
      <c r="E565">
        <v>0</v>
      </c>
      <c r="F565" t="s">
        <v>19</v>
      </c>
      <c r="G565" t="s">
        <v>14</v>
      </c>
      <c r="H565" t="s">
        <v>15</v>
      </c>
      <c r="I565">
        <v>1</v>
      </c>
      <c r="J565" t="s">
        <v>23</v>
      </c>
      <c r="K565" t="s">
        <v>32</v>
      </c>
      <c r="L565">
        <v>28</v>
      </c>
      <c r="M565" t="str">
        <f t="shared" si="8"/>
        <v>Adolescent</v>
      </c>
      <c r="N565" t="s">
        <v>18</v>
      </c>
    </row>
    <row r="566" spans="1:14" x14ac:dyDescent="0.3">
      <c r="A566">
        <v>17369</v>
      </c>
      <c r="B566" t="s">
        <v>39</v>
      </c>
      <c r="C566" t="s">
        <v>37</v>
      </c>
      <c r="D566" s="6">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37</v>
      </c>
      <c r="D567" s="6">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6">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37</v>
      </c>
      <c r="D569" s="6">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37</v>
      </c>
      <c r="D570" s="6">
        <v>70000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37</v>
      </c>
      <c r="D571" s="6">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37</v>
      </c>
      <c r="D572" s="6">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37</v>
      </c>
      <c r="D573" s="6">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37</v>
      </c>
      <c r="D574" s="6">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37</v>
      </c>
      <c r="D575" s="6">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38</v>
      </c>
      <c r="D576" s="6">
        <v>80000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37</v>
      </c>
      <c r="D577" s="6">
        <v>60000</v>
      </c>
      <c r="E577">
        <v>2</v>
      </c>
      <c r="F577" t="s">
        <v>19</v>
      </c>
      <c r="G577" t="s">
        <v>21</v>
      </c>
      <c r="H577" t="s">
        <v>15</v>
      </c>
      <c r="I577">
        <v>1</v>
      </c>
      <c r="J577" t="s">
        <v>46</v>
      </c>
      <c r="K577" t="s">
        <v>32</v>
      </c>
      <c r="L577">
        <v>56</v>
      </c>
      <c r="M577" t="str">
        <f t="shared" si="8"/>
        <v>Old</v>
      </c>
      <c r="N577" t="s">
        <v>18</v>
      </c>
    </row>
    <row r="578" spans="1:14" x14ac:dyDescent="0.3">
      <c r="A578">
        <v>18752</v>
      </c>
      <c r="B578" t="s">
        <v>39</v>
      </c>
      <c r="C578" t="s">
        <v>38</v>
      </c>
      <c r="D578" s="6">
        <v>40000</v>
      </c>
      <c r="E578">
        <v>0</v>
      </c>
      <c r="F578" t="s">
        <v>27</v>
      </c>
      <c r="G578" t="s">
        <v>14</v>
      </c>
      <c r="H578" t="s">
        <v>15</v>
      </c>
      <c r="I578">
        <v>1</v>
      </c>
      <c r="J578" t="s">
        <v>23</v>
      </c>
      <c r="K578" t="s">
        <v>32</v>
      </c>
      <c r="L578">
        <v>31</v>
      </c>
      <c r="M578" t="str">
        <f t="shared" ref="M578:M641" si="9">IF(L578&gt;=50,"Old",IF(L578&gt;=31,"Middle Age",IF(L578&lt;31,"Adolescent","Invalid")))</f>
        <v>Middle Age</v>
      </c>
      <c r="N578" t="s">
        <v>18</v>
      </c>
    </row>
    <row r="579" spans="1:14" x14ac:dyDescent="0.3">
      <c r="A579">
        <v>16917</v>
      </c>
      <c r="B579" t="s">
        <v>36</v>
      </c>
      <c r="C579" t="s">
        <v>37</v>
      </c>
      <c r="D579" s="6">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37</v>
      </c>
      <c r="D580" s="6">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38</v>
      </c>
      <c r="D581" s="6">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6">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37</v>
      </c>
      <c r="D583" s="6">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37</v>
      </c>
      <c r="D584" s="6">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37</v>
      </c>
      <c r="D585" s="6">
        <v>60000</v>
      </c>
      <c r="E585">
        <v>3</v>
      </c>
      <c r="F585" t="s">
        <v>13</v>
      </c>
      <c r="G585" t="s">
        <v>28</v>
      </c>
      <c r="H585" t="s">
        <v>15</v>
      </c>
      <c r="I585">
        <v>2</v>
      </c>
      <c r="J585" t="s">
        <v>46</v>
      </c>
      <c r="K585" t="s">
        <v>32</v>
      </c>
      <c r="L585">
        <v>66</v>
      </c>
      <c r="M585" t="str">
        <f t="shared" si="9"/>
        <v>Old</v>
      </c>
      <c r="N585" t="s">
        <v>18</v>
      </c>
    </row>
    <row r="586" spans="1:14" x14ac:dyDescent="0.3">
      <c r="A586">
        <v>28667</v>
      </c>
      <c r="B586" t="s">
        <v>39</v>
      </c>
      <c r="C586" t="s">
        <v>37</v>
      </c>
      <c r="D586" s="6">
        <v>70000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37</v>
      </c>
      <c r="D587" s="6">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37</v>
      </c>
      <c r="D588" s="6">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6">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6">
        <v>90000</v>
      </c>
      <c r="E590">
        <v>2</v>
      </c>
      <c r="F590" t="s">
        <v>27</v>
      </c>
      <c r="G590" t="s">
        <v>21</v>
      </c>
      <c r="H590" t="s">
        <v>15</v>
      </c>
      <c r="I590">
        <v>1</v>
      </c>
      <c r="J590" t="s">
        <v>46</v>
      </c>
      <c r="K590" t="s">
        <v>32</v>
      </c>
      <c r="L590">
        <v>51</v>
      </c>
      <c r="M590" t="str">
        <f t="shared" si="9"/>
        <v>Old</v>
      </c>
      <c r="N590" t="s">
        <v>15</v>
      </c>
    </row>
    <row r="591" spans="1:14" x14ac:dyDescent="0.3">
      <c r="A591">
        <v>12100</v>
      </c>
      <c r="B591" t="s">
        <v>39</v>
      </c>
      <c r="C591" t="s">
        <v>37</v>
      </c>
      <c r="D591" s="6">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6">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37</v>
      </c>
      <c r="D593" s="6">
        <v>40000</v>
      </c>
      <c r="E593">
        <v>4</v>
      </c>
      <c r="F593" t="s">
        <v>27</v>
      </c>
      <c r="G593" t="s">
        <v>21</v>
      </c>
      <c r="H593" t="s">
        <v>18</v>
      </c>
      <c r="I593">
        <v>2</v>
      </c>
      <c r="J593" t="s">
        <v>46</v>
      </c>
      <c r="K593" t="s">
        <v>32</v>
      </c>
      <c r="L593">
        <v>61</v>
      </c>
      <c r="M593" t="str">
        <f t="shared" si="9"/>
        <v>Old</v>
      </c>
      <c r="N593" t="s">
        <v>15</v>
      </c>
    </row>
    <row r="594" spans="1:14" x14ac:dyDescent="0.3">
      <c r="A594">
        <v>18391</v>
      </c>
      <c r="B594" t="s">
        <v>39</v>
      </c>
      <c r="C594" t="s">
        <v>38</v>
      </c>
      <c r="D594" s="6">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38</v>
      </c>
      <c r="D595" s="6">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37</v>
      </c>
      <c r="D596" s="6">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38</v>
      </c>
      <c r="D597" s="6">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6">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37</v>
      </c>
      <c r="D599" s="6">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37</v>
      </c>
      <c r="D600" s="6">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6">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37</v>
      </c>
      <c r="D602" s="6">
        <v>30000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37</v>
      </c>
      <c r="D603" s="6">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37</v>
      </c>
      <c r="D604" s="6">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37</v>
      </c>
      <c r="D605" s="6">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37</v>
      </c>
      <c r="D606" s="6">
        <v>40000</v>
      </c>
      <c r="E606">
        <v>0</v>
      </c>
      <c r="F606" t="s">
        <v>27</v>
      </c>
      <c r="G606" t="s">
        <v>14</v>
      </c>
      <c r="H606" t="s">
        <v>15</v>
      </c>
      <c r="I606">
        <v>2</v>
      </c>
      <c r="J606" t="s">
        <v>23</v>
      </c>
      <c r="K606" t="s">
        <v>32</v>
      </c>
      <c r="L606">
        <v>27</v>
      </c>
      <c r="M606" t="str">
        <f t="shared" si="9"/>
        <v>Adolescent</v>
      </c>
      <c r="N606" t="s">
        <v>18</v>
      </c>
    </row>
    <row r="607" spans="1:14" x14ac:dyDescent="0.3">
      <c r="A607">
        <v>17458</v>
      </c>
      <c r="B607" t="s">
        <v>39</v>
      </c>
      <c r="C607" t="s">
        <v>37</v>
      </c>
      <c r="D607" s="6">
        <v>70000</v>
      </c>
      <c r="E607">
        <v>3</v>
      </c>
      <c r="F607" t="s">
        <v>27</v>
      </c>
      <c r="G607" t="s">
        <v>21</v>
      </c>
      <c r="H607" t="s">
        <v>15</v>
      </c>
      <c r="I607">
        <v>0</v>
      </c>
      <c r="J607" t="s">
        <v>23</v>
      </c>
      <c r="K607" t="s">
        <v>32</v>
      </c>
      <c r="L607">
        <v>52</v>
      </c>
      <c r="M607" t="str">
        <f t="shared" si="9"/>
        <v>Old</v>
      </c>
      <c r="N607" t="s">
        <v>15</v>
      </c>
    </row>
    <row r="608" spans="1:14" x14ac:dyDescent="0.3">
      <c r="A608">
        <v>11644</v>
      </c>
      <c r="B608" t="s">
        <v>39</v>
      </c>
      <c r="C608" t="s">
        <v>37</v>
      </c>
      <c r="D608" s="6">
        <v>40000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38</v>
      </c>
      <c r="D609" s="6">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37</v>
      </c>
      <c r="D610" s="6">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37</v>
      </c>
      <c r="D611" s="6">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37</v>
      </c>
      <c r="D612" s="6">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6">
        <v>80000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38</v>
      </c>
      <c r="D614" s="6">
        <v>30000</v>
      </c>
      <c r="E614">
        <v>0</v>
      </c>
      <c r="F614" t="s">
        <v>29</v>
      </c>
      <c r="G614" t="s">
        <v>20</v>
      </c>
      <c r="H614" t="s">
        <v>15</v>
      </c>
      <c r="I614">
        <v>2</v>
      </c>
      <c r="J614" t="s">
        <v>23</v>
      </c>
      <c r="K614" t="s">
        <v>32</v>
      </c>
      <c r="L614">
        <v>27</v>
      </c>
      <c r="M614" t="str">
        <f t="shared" si="9"/>
        <v>Adolescent</v>
      </c>
      <c r="N614" t="s">
        <v>18</v>
      </c>
    </row>
    <row r="615" spans="1:14" x14ac:dyDescent="0.3">
      <c r="A615">
        <v>25184</v>
      </c>
      <c r="B615" t="s">
        <v>39</v>
      </c>
      <c r="C615" t="s">
        <v>37</v>
      </c>
      <c r="D615" s="6">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6">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38</v>
      </c>
      <c r="D617" s="6">
        <v>60000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38</v>
      </c>
      <c r="D618" s="6">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37</v>
      </c>
      <c r="D619" s="6">
        <v>40000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38</v>
      </c>
      <c r="D620" s="6">
        <v>20000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38</v>
      </c>
      <c r="D621" s="6">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6">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37</v>
      </c>
      <c r="D623" s="6">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37</v>
      </c>
      <c r="D624" s="6">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6">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38</v>
      </c>
      <c r="D626" s="6">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37</v>
      </c>
      <c r="D627" s="6">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6">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6">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37</v>
      </c>
      <c r="D630" s="6">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6">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37</v>
      </c>
      <c r="D632" s="6">
        <v>40000</v>
      </c>
      <c r="E632">
        <v>0</v>
      </c>
      <c r="F632" t="s">
        <v>27</v>
      </c>
      <c r="G632" t="s">
        <v>14</v>
      </c>
      <c r="H632" t="s">
        <v>18</v>
      </c>
      <c r="I632">
        <v>2</v>
      </c>
      <c r="J632" t="s">
        <v>26</v>
      </c>
      <c r="K632" t="s">
        <v>32</v>
      </c>
      <c r="L632">
        <v>30</v>
      </c>
      <c r="M632" t="str">
        <f t="shared" si="9"/>
        <v>Adolescent</v>
      </c>
      <c r="N632" t="s">
        <v>18</v>
      </c>
    </row>
    <row r="633" spans="1:14" x14ac:dyDescent="0.3">
      <c r="A633">
        <v>27643</v>
      </c>
      <c r="B633" t="s">
        <v>39</v>
      </c>
      <c r="C633" t="s">
        <v>37</v>
      </c>
      <c r="D633" s="6">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38</v>
      </c>
      <c r="D634" s="6">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6">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37</v>
      </c>
      <c r="D636" s="6">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38</v>
      </c>
      <c r="D637" s="6">
        <v>30000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38</v>
      </c>
      <c r="D638" s="6">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37</v>
      </c>
      <c r="D639" s="6">
        <v>40000</v>
      </c>
      <c r="E639">
        <v>0</v>
      </c>
      <c r="F639" t="s">
        <v>27</v>
      </c>
      <c r="G639" t="s">
        <v>14</v>
      </c>
      <c r="H639" t="s">
        <v>18</v>
      </c>
      <c r="I639">
        <v>2</v>
      </c>
      <c r="J639" t="s">
        <v>26</v>
      </c>
      <c r="K639" t="s">
        <v>32</v>
      </c>
      <c r="L639">
        <v>30</v>
      </c>
      <c r="M639" t="str">
        <f t="shared" si="9"/>
        <v>Adolescent</v>
      </c>
      <c r="N639" t="s">
        <v>18</v>
      </c>
    </row>
    <row r="640" spans="1:14" x14ac:dyDescent="0.3">
      <c r="A640">
        <v>18949</v>
      </c>
      <c r="B640" t="s">
        <v>39</v>
      </c>
      <c r="C640" t="s">
        <v>37</v>
      </c>
      <c r="D640" s="6">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37</v>
      </c>
      <c r="D641" s="6">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6">
        <v>60000</v>
      </c>
      <c r="E642">
        <v>2</v>
      </c>
      <c r="F642" t="s">
        <v>19</v>
      </c>
      <c r="G642" t="s">
        <v>21</v>
      </c>
      <c r="H642" t="s">
        <v>15</v>
      </c>
      <c r="I642">
        <v>2</v>
      </c>
      <c r="J642" t="s">
        <v>22</v>
      </c>
      <c r="K642" t="s">
        <v>32</v>
      </c>
      <c r="L642">
        <v>56</v>
      </c>
      <c r="M642" t="str">
        <f t="shared" ref="M642:M705" si="10">IF(L642&gt;=50,"Old",IF(L642&gt;=31,"Middle Age",IF(L642&lt;31,"Adolescent","Invalid")))</f>
        <v>Old</v>
      </c>
      <c r="N642" t="s">
        <v>15</v>
      </c>
    </row>
    <row r="643" spans="1:14" x14ac:dyDescent="0.3">
      <c r="A643">
        <v>21441</v>
      </c>
      <c r="B643" t="s">
        <v>36</v>
      </c>
      <c r="C643" t="s">
        <v>37</v>
      </c>
      <c r="D643" s="6">
        <v>50000</v>
      </c>
      <c r="E643">
        <v>4</v>
      </c>
      <c r="F643" t="s">
        <v>13</v>
      </c>
      <c r="G643" t="s">
        <v>28</v>
      </c>
      <c r="H643" t="s">
        <v>15</v>
      </c>
      <c r="I643">
        <v>2</v>
      </c>
      <c r="J643" t="s">
        <v>46</v>
      </c>
      <c r="K643" t="s">
        <v>32</v>
      </c>
      <c r="L643">
        <v>64</v>
      </c>
      <c r="M643" t="str">
        <f t="shared" si="10"/>
        <v>Old</v>
      </c>
      <c r="N643" t="s">
        <v>18</v>
      </c>
    </row>
    <row r="644" spans="1:14" x14ac:dyDescent="0.3">
      <c r="A644">
        <v>21741</v>
      </c>
      <c r="B644" t="s">
        <v>36</v>
      </c>
      <c r="C644" t="s">
        <v>38</v>
      </c>
      <c r="D644" s="6">
        <v>70000</v>
      </c>
      <c r="E644">
        <v>3</v>
      </c>
      <c r="F644" t="s">
        <v>19</v>
      </c>
      <c r="G644" t="s">
        <v>21</v>
      </c>
      <c r="H644" t="s">
        <v>15</v>
      </c>
      <c r="I644">
        <v>2</v>
      </c>
      <c r="J644" t="s">
        <v>23</v>
      </c>
      <c r="K644" t="s">
        <v>32</v>
      </c>
      <c r="L644">
        <v>50</v>
      </c>
      <c r="M644" t="str">
        <f t="shared" si="10"/>
        <v>Old</v>
      </c>
      <c r="N644" t="s">
        <v>15</v>
      </c>
    </row>
    <row r="645" spans="1:14" x14ac:dyDescent="0.3">
      <c r="A645">
        <v>14572</v>
      </c>
      <c r="B645" t="s">
        <v>36</v>
      </c>
      <c r="C645" t="s">
        <v>38</v>
      </c>
      <c r="D645" s="6">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6">
        <v>60000</v>
      </c>
      <c r="E646">
        <v>5</v>
      </c>
      <c r="F646" t="s">
        <v>13</v>
      </c>
      <c r="G646" t="s">
        <v>14</v>
      </c>
      <c r="H646" t="s">
        <v>15</v>
      </c>
      <c r="I646">
        <v>3</v>
      </c>
      <c r="J646" t="s">
        <v>46</v>
      </c>
      <c r="K646" t="s">
        <v>32</v>
      </c>
      <c r="L646">
        <v>41</v>
      </c>
      <c r="M646" t="str">
        <f t="shared" si="10"/>
        <v>Middle Age</v>
      </c>
      <c r="N646" t="s">
        <v>18</v>
      </c>
    </row>
    <row r="647" spans="1:14" x14ac:dyDescent="0.3">
      <c r="A647">
        <v>16217</v>
      </c>
      <c r="B647" t="s">
        <v>39</v>
      </c>
      <c r="C647" t="s">
        <v>38</v>
      </c>
      <c r="D647" s="6">
        <v>60000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38</v>
      </c>
      <c r="D648" s="6">
        <v>60000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37</v>
      </c>
      <c r="D649" s="6">
        <v>40000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38</v>
      </c>
      <c r="D650" s="6">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38</v>
      </c>
      <c r="D651" s="6">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38</v>
      </c>
      <c r="D652" s="6">
        <v>70000</v>
      </c>
      <c r="E652">
        <v>5</v>
      </c>
      <c r="F652" t="s">
        <v>31</v>
      </c>
      <c r="G652" t="s">
        <v>28</v>
      </c>
      <c r="H652" t="s">
        <v>15</v>
      </c>
      <c r="I652">
        <v>2</v>
      </c>
      <c r="J652" t="s">
        <v>46</v>
      </c>
      <c r="K652" t="s">
        <v>32</v>
      </c>
      <c r="L652">
        <v>67</v>
      </c>
      <c r="M652" t="str">
        <f t="shared" si="10"/>
        <v>Old</v>
      </c>
      <c r="N652" t="s">
        <v>15</v>
      </c>
    </row>
    <row r="653" spans="1:14" x14ac:dyDescent="0.3">
      <c r="A653">
        <v>14284</v>
      </c>
      <c r="B653" t="s">
        <v>39</v>
      </c>
      <c r="C653" t="s">
        <v>37</v>
      </c>
      <c r="D653" s="6">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37</v>
      </c>
      <c r="D654" s="6">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37</v>
      </c>
      <c r="D655" s="6">
        <v>30000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37</v>
      </c>
      <c r="D656" s="6">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6">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37</v>
      </c>
      <c r="D658" s="6">
        <v>60000</v>
      </c>
      <c r="E658">
        <v>2</v>
      </c>
      <c r="F658" t="s">
        <v>27</v>
      </c>
      <c r="G658" t="s">
        <v>21</v>
      </c>
      <c r="H658" t="s">
        <v>18</v>
      </c>
      <c r="I658">
        <v>2</v>
      </c>
      <c r="J658" t="s">
        <v>23</v>
      </c>
      <c r="K658" t="s">
        <v>32</v>
      </c>
      <c r="L658">
        <v>50</v>
      </c>
      <c r="M658" t="str">
        <f t="shared" si="10"/>
        <v>Old</v>
      </c>
      <c r="N658" t="s">
        <v>18</v>
      </c>
    </row>
    <row r="659" spans="1:14" x14ac:dyDescent="0.3">
      <c r="A659">
        <v>12964</v>
      </c>
      <c r="B659" t="s">
        <v>36</v>
      </c>
      <c r="C659" t="s">
        <v>37</v>
      </c>
      <c r="D659" s="6">
        <v>70000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37</v>
      </c>
      <c r="D660" s="6">
        <v>50000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38</v>
      </c>
      <c r="D661" s="6">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6">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37</v>
      </c>
      <c r="D663" s="6">
        <v>40000</v>
      </c>
      <c r="E663">
        <v>0</v>
      </c>
      <c r="F663" t="s">
        <v>27</v>
      </c>
      <c r="G663" t="s">
        <v>14</v>
      </c>
      <c r="H663" t="s">
        <v>18</v>
      </c>
      <c r="I663">
        <v>2</v>
      </c>
      <c r="J663" t="s">
        <v>16</v>
      </c>
      <c r="K663" t="s">
        <v>32</v>
      </c>
      <c r="L663">
        <v>28</v>
      </c>
      <c r="M663" t="str">
        <f t="shared" si="10"/>
        <v>Adolescent</v>
      </c>
      <c r="N663" t="s">
        <v>15</v>
      </c>
    </row>
    <row r="664" spans="1:14" x14ac:dyDescent="0.3">
      <c r="A664">
        <v>27637</v>
      </c>
      <c r="B664" t="s">
        <v>39</v>
      </c>
      <c r="C664" t="s">
        <v>38</v>
      </c>
      <c r="D664" s="6">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6">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6">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37</v>
      </c>
      <c r="D667" s="6">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6">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6">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6">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6">
        <v>60000</v>
      </c>
      <c r="E671">
        <v>2</v>
      </c>
      <c r="F671" t="s">
        <v>27</v>
      </c>
      <c r="G671" t="s">
        <v>21</v>
      </c>
      <c r="H671" t="s">
        <v>15</v>
      </c>
      <c r="I671">
        <v>2</v>
      </c>
      <c r="J671" t="s">
        <v>23</v>
      </c>
      <c r="K671" t="s">
        <v>32</v>
      </c>
      <c r="L671">
        <v>50</v>
      </c>
      <c r="M671" t="str">
        <f t="shared" si="10"/>
        <v>Old</v>
      </c>
      <c r="N671" t="s">
        <v>18</v>
      </c>
    </row>
    <row r="672" spans="1:14" x14ac:dyDescent="0.3">
      <c r="A672">
        <v>21471</v>
      </c>
      <c r="B672" t="s">
        <v>36</v>
      </c>
      <c r="C672" t="s">
        <v>37</v>
      </c>
      <c r="D672" s="6">
        <v>70000</v>
      </c>
      <c r="E672">
        <v>2</v>
      </c>
      <c r="F672" t="s">
        <v>19</v>
      </c>
      <c r="G672" t="s">
        <v>21</v>
      </c>
      <c r="H672" t="s">
        <v>15</v>
      </c>
      <c r="I672">
        <v>1</v>
      </c>
      <c r="J672" t="s">
        <v>46</v>
      </c>
      <c r="K672" t="s">
        <v>32</v>
      </c>
      <c r="L672">
        <v>59</v>
      </c>
      <c r="M672" t="str">
        <f t="shared" si="10"/>
        <v>Old</v>
      </c>
      <c r="N672" t="s">
        <v>18</v>
      </c>
    </row>
    <row r="673" spans="1:14" x14ac:dyDescent="0.3">
      <c r="A673">
        <v>22252</v>
      </c>
      <c r="B673" t="s">
        <v>39</v>
      </c>
      <c r="C673" t="s">
        <v>38</v>
      </c>
      <c r="D673" s="6">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38</v>
      </c>
      <c r="D674" s="6">
        <v>40000</v>
      </c>
      <c r="E674">
        <v>0</v>
      </c>
      <c r="F674" t="s">
        <v>27</v>
      </c>
      <c r="G674" t="s">
        <v>14</v>
      </c>
      <c r="H674" t="s">
        <v>15</v>
      </c>
      <c r="I674">
        <v>2</v>
      </c>
      <c r="J674" t="s">
        <v>23</v>
      </c>
      <c r="K674" t="s">
        <v>32</v>
      </c>
      <c r="L674">
        <v>30</v>
      </c>
      <c r="M674" t="str">
        <f t="shared" si="10"/>
        <v>Adolescent</v>
      </c>
      <c r="N674" t="s">
        <v>18</v>
      </c>
    </row>
    <row r="675" spans="1:14" x14ac:dyDescent="0.3">
      <c r="A675">
        <v>11817</v>
      </c>
      <c r="B675" t="s">
        <v>39</v>
      </c>
      <c r="C675" t="s">
        <v>38</v>
      </c>
      <c r="D675" s="6">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6">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37</v>
      </c>
      <c r="D677" s="6">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37</v>
      </c>
      <c r="D678" s="6">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37</v>
      </c>
      <c r="D679" s="6">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37</v>
      </c>
      <c r="D680" s="6">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37</v>
      </c>
      <c r="D681" s="6">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6">
        <v>60000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38</v>
      </c>
      <c r="D683" s="6">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37</v>
      </c>
      <c r="D684" s="6">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6">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38</v>
      </c>
      <c r="D686" s="6">
        <v>60000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38</v>
      </c>
      <c r="D687" s="6">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6">
        <v>40000</v>
      </c>
      <c r="E688">
        <v>1</v>
      </c>
      <c r="F688" t="s">
        <v>19</v>
      </c>
      <c r="G688" t="s">
        <v>20</v>
      </c>
      <c r="H688" t="s">
        <v>15</v>
      </c>
      <c r="I688">
        <v>1</v>
      </c>
      <c r="J688" t="s">
        <v>26</v>
      </c>
      <c r="K688" t="s">
        <v>32</v>
      </c>
      <c r="L688">
        <v>51</v>
      </c>
      <c r="M688" t="str">
        <f t="shared" si="10"/>
        <v>Old</v>
      </c>
      <c r="N688" t="s">
        <v>15</v>
      </c>
    </row>
    <row r="689" spans="1:14" x14ac:dyDescent="0.3">
      <c r="A689">
        <v>18910</v>
      </c>
      <c r="B689" t="s">
        <v>39</v>
      </c>
      <c r="C689" t="s">
        <v>37</v>
      </c>
      <c r="D689" s="6">
        <v>30000</v>
      </c>
      <c r="E689">
        <v>0</v>
      </c>
      <c r="F689" t="s">
        <v>19</v>
      </c>
      <c r="G689" t="s">
        <v>14</v>
      </c>
      <c r="H689" t="s">
        <v>15</v>
      </c>
      <c r="I689">
        <v>2</v>
      </c>
      <c r="J689" t="s">
        <v>23</v>
      </c>
      <c r="K689" t="s">
        <v>32</v>
      </c>
      <c r="L689">
        <v>30</v>
      </c>
      <c r="M689" t="str">
        <f t="shared" si="10"/>
        <v>Adolescent</v>
      </c>
      <c r="N689" t="s">
        <v>18</v>
      </c>
    </row>
    <row r="690" spans="1:14" x14ac:dyDescent="0.3">
      <c r="A690">
        <v>11699</v>
      </c>
      <c r="B690" t="s">
        <v>39</v>
      </c>
      <c r="C690" t="s">
        <v>37</v>
      </c>
      <c r="D690" s="6">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37</v>
      </c>
      <c r="D691" s="6">
        <v>30000</v>
      </c>
      <c r="E691">
        <v>0</v>
      </c>
      <c r="F691" t="s">
        <v>27</v>
      </c>
      <c r="G691" t="s">
        <v>14</v>
      </c>
      <c r="H691" t="s">
        <v>15</v>
      </c>
      <c r="I691">
        <v>2</v>
      </c>
      <c r="J691" t="s">
        <v>23</v>
      </c>
      <c r="K691" t="s">
        <v>32</v>
      </c>
      <c r="L691">
        <v>26</v>
      </c>
      <c r="M691" t="str">
        <f t="shared" si="10"/>
        <v>Adolescent</v>
      </c>
      <c r="N691" t="s">
        <v>18</v>
      </c>
    </row>
    <row r="692" spans="1:14" x14ac:dyDescent="0.3">
      <c r="A692">
        <v>28269</v>
      </c>
      <c r="B692" t="s">
        <v>39</v>
      </c>
      <c r="C692" t="s">
        <v>38</v>
      </c>
      <c r="D692" s="6">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37</v>
      </c>
      <c r="D693" s="6">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37</v>
      </c>
      <c r="D694" s="6">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38</v>
      </c>
      <c r="D695" s="6">
        <v>60000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38</v>
      </c>
      <c r="D696" s="6">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37</v>
      </c>
      <c r="D697" s="6">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37</v>
      </c>
      <c r="D698" s="6">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6">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37</v>
      </c>
      <c r="D700" s="6">
        <v>20000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37</v>
      </c>
      <c r="D701" s="6">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6">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37</v>
      </c>
      <c r="D703" s="6">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37</v>
      </c>
      <c r="D704" s="6">
        <v>120000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38</v>
      </c>
      <c r="D705" s="6">
        <v>50000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38</v>
      </c>
      <c r="D706" s="6">
        <v>40000</v>
      </c>
      <c r="E706">
        <v>0</v>
      </c>
      <c r="F706" t="s">
        <v>13</v>
      </c>
      <c r="G706" t="s">
        <v>21</v>
      </c>
      <c r="H706" t="s">
        <v>15</v>
      </c>
      <c r="I706">
        <v>1</v>
      </c>
      <c r="J706" t="s">
        <v>22</v>
      </c>
      <c r="K706" t="s">
        <v>32</v>
      </c>
      <c r="L706">
        <v>42</v>
      </c>
      <c r="M706" t="str">
        <f t="shared" ref="M706:M769" si="11">IF(L706&gt;=50,"Old",IF(L706&gt;=31,"Middle Age",IF(L706&lt;31,"Adolescent","Invalid")))</f>
        <v>Middle Age</v>
      </c>
      <c r="N706" t="s">
        <v>15</v>
      </c>
    </row>
    <row r="707" spans="1:14" x14ac:dyDescent="0.3">
      <c r="A707">
        <v>11199</v>
      </c>
      <c r="B707" t="s">
        <v>36</v>
      </c>
      <c r="C707" t="s">
        <v>38</v>
      </c>
      <c r="D707" s="6">
        <v>70000</v>
      </c>
      <c r="E707">
        <v>4</v>
      </c>
      <c r="F707" t="s">
        <v>13</v>
      </c>
      <c r="G707" t="s">
        <v>28</v>
      </c>
      <c r="H707" t="s">
        <v>15</v>
      </c>
      <c r="I707">
        <v>1</v>
      </c>
      <c r="J707" t="s">
        <v>46</v>
      </c>
      <c r="K707" t="s">
        <v>32</v>
      </c>
      <c r="L707">
        <v>59</v>
      </c>
      <c r="M707" t="str">
        <f t="shared" si="11"/>
        <v>Old</v>
      </c>
      <c r="N707" t="s">
        <v>18</v>
      </c>
    </row>
    <row r="708" spans="1:14" x14ac:dyDescent="0.3">
      <c r="A708">
        <v>20296</v>
      </c>
      <c r="B708" t="s">
        <v>39</v>
      </c>
      <c r="C708" t="s">
        <v>38</v>
      </c>
      <c r="D708" s="6">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6">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37</v>
      </c>
      <c r="D710" s="6">
        <v>70000</v>
      </c>
      <c r="E710">
        <v>5</v>
      </c>
      <c r="F710" t="s">
        <v>13</v>
      </c>
      <c r="G710" t="s">
        <v>28</v>
      </c>
      <c r="H710" t="s">
        <v>15</v>
      </c>
      <c r="I710">
        <v>4</v>
      </c>
      <c r="J710" t="s">
        <v>46</v>
      </c>
      <c r="K710" t="s">
        <v>32</v>
      </c>
      <c r="L710">
        <v>60</v>
      </c>
      <c r="M710" t="str">
        <f t="shared" si="11"/>
        <v>Old</v>
      </c>
      <c r="N710" t="s">
        <v>18</v>
      </c>
    </row>
    <row r="711" spans="1:14" x14ac:dyDescent="0.3">
      <c r="A711">
        <v>23712</v>
      </c>
      <c r="B711" t="s">
        <v>39</v>
      </c>
      <c r="C711" t="s">
        <v>38</v>
      </c>
      <c r="D711" s="6">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37</v>
      </c>
      <c r="D712" s="6">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6">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6">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38</v>
      </c>
      <c r="D715" s="6">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37</v>
      </c>
      <c r="D716" s="6">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6">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38</v>
      </c>
      <c r="D718" s="6">
        <v>80000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37</v>
      </c>
      <c r="D719" s="6">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37</v>
      </c>
      <c r="D720" s="6">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6">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38</v>
      </c>
      <c r="D722" s="6">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37</v>
      </c>
      <c r="D723" s="6">
        <v>110000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38</v>
      </c>
      <c r="D724" s="6">
        <v>70000</v>
      </c>
      <c r="E724">
        <v>3</v>
      </c>
      <c r="F724" t="s">
        <v>31</v>
      </c>
      <c r="G724" t="s">
        <v>28</v>
      </c>
      <c r="H724" t="s">
        <v>18</v>
      </c>
      <c r="I724">
        <v>2</v>
      </c>
      <c r="J724" t="s">
        <v>26</v>
      </c>
      <c r="K724" t="s">
        <v>32</v>
      </c>
      <c r="L724">
        <v>53</v>
      </c>
      <c r="M724" t="str">
        <f t="shared" si="11"/>
        <v>Old</v>
      </c>
      <c r="N724" t="s">
        <v>18</v>
      </c>
    </row>
    <row r="725" spans="1:14" x14ac:dyDescent="0.3">
      <c r="A725">
        <v>26678</v>
      </c>
      <c r="B725" t="s">
        <v>39</v>
      </c>
      <c r="C725" t="s">
        <v>38</v>
      </c>
      <c r="D725" s="6">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37</v>
      </c>
      <c r="D726" s="6">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37</v>
      </c>
      <c r="D727" s="6">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37</v>
      </c>
      <c r="D728" s="6">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37</v>
      </c>
      <c r="D729" s="6">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37</v>
      </c>
      <c r="D730" s="6">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6">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38</v>
      </c>
      <c r="D732" s="6">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37</v>
      </c>
      <c r="D733" s="6">
        <v>60000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38</v>
      </c>
      <c r="D734" s="6">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37</v>
      </c>
      <c r="D735" s="6">
        <v>130000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38</v>
      </c>
      <c r="D736" s="6">
        <v>130000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38</v>
      </c>
      <c r="D737" s="6">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37</v>
      </c>
      <c r="D738" s="6">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37</v>
      </c>
      <c r="D739" s="6">
        <v>70000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38</v>
      </c>
      <c r="D740" s="6">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6">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37</v>
      </c>
      <c r="D742" s="6">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6">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37</v>
      </c>
      <c r="D744" s="6">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37</v>
      </c>
      <c r="D745" s="6">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6">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37</v>
      </c>
      <c r="D747" s="6">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6">
        <v>60000</v>
      </c>
      <c r="E748">
        <v>2</v>
      </c>
      <c r="F748" t="s">
        <v>13</v>
      </c>
      <c r="G748" t="s">
        <v>28</v>
      </c>
      <c r="H748" t="s">
        <v>15</v>
      </c>
      <c r="I748">
        <v>0</v>
      </c>
      <c r="J748" t="s">
        <v>46</v>
      </c>
      <c r="K748" t="s">
        <v>32</v>
      </c>
      <c r="L748">
        <v>56</v>
      </c>
      <c r="M748" t="str">
        <f t="shared" si="11"/>
        <v>Old</v>
      </c>
      <c r="N748" t="s">
        <v>18</v>
      </c>
    </row>
    <row r="749" spans="1:14" x14ac:dyDescent="0.3">
      <c r="A749">
        <v>12957</v>
      </c>
      <c r="B749" t="s">
        <v>39</v>
      </c>
      <c r="C749" t="s">
        <v>38</v>
      </c>
      <c r="D749" s="6">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37</v>
      </c>
      <c r="D750" s="6">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6">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37</v>
      </c>
      <c r="D752" s="6">
        <v>30000</v>
      </c>
      <c r="E752">
        <v>2</v>
      </c>
      <c r="F752" t="s">
        <v>27</v>
      </c>
      <c r="G752" t="s">
        <v>14</v>
      </c>
      <c r="H752" t="s">
        <v>15</v>
      </c>
      <c r="I752">
        <v>2</v>
      </c>
      <c r="J752" t="s">
        <v>26</v>
      </c>
      <c r="K752" t="s">
        <v>32</v>
      </c>
      <c r="L752">
        <v>50</v>
      </c>
      <c r="M752" t="str">
        <f t="shared" si="11"/>
        <v>Old</v>
      </c>
      <c r="N752" t="s">
        <v>18</v>
      </c>
    </row>
    <row r="753" spans="1:14" x14ac:dyDescent="0.3">
      <c r="A753">
        <v>11801</v>
      </c>
      <c r="B753" t="s">
        <v>36</v>
      </c>
      <c r="C753" t="s">
        <v>37</v>
      </c>
      <c r="D753" s="6">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37</v>
      </c>
      <c r="D754" s="6">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38</v>
      </c>
      <c r="D755" s="6">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6">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37</v>
      </c>
      <c r="D757" s="6">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37</v>
      </c>
      <c r="D758" s="6">
        <v>40000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37</v>
      </c>
      <c r="D759" s="6">
        <v>30000</v>
      </c>
      <c r="E759">
        <v>1</v>
      </c>
      <c r="F759" t="s">
        <v>27</v>
      </c>
      <c r="G759" t="s">
        <v>20</v>
      </c>
      <c r="H759" t="s">
        <v>15</v>
      </c>
      <c r="I759">
        <v>2</v>
      </c>
      <c r="J759" t="s">
        <v>26</v>
      </c>
      <c r="K759" t="s">
        <v>32</v>
      </c>
      <c r="L759">
        <v>51</v>
      </c>
      <c r="M759" t="str">
        <f t="shared" si="11"/>
        <v>Old</v>
      </c>
      <c r="N759" t="s">
        <v>15</v>
      </c>
    </row>
    <row r="760" spans="1:14" x14ac:dyDescent="0.3">
      <c r="A760">
        <v>21714</v>
      </c>
      <c r="B760" t="s">
        <v>39</v>
      </c>
      <c r="C760" t="s">
        <v>38</v>
      </c>
      <c r="D760" s="6">
        <v>80000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38</v>
      </c>
      <c r="D761" s="6">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37</v>
      </c>
      <c r="D762" s="6">
        <v>20000</v>
      </c>
      <c r="E762">
        <v>3</v>
      </c>
      <c r="F762" t="s">
        <v>29</v>
      </c>
      <c r="G762" t="s">
        <v>20</v>
      </c>
      <c r="H762" t="s">
        <v>18</v>
      </c>
      <c r="I762">
        <v>2</v>
      </c>
      <c r="J762" t="s">
        <v>16</v>
      </c>
      <c r="K762" t="s">
        <v>32</v>
      </c>
      <c r="L762">
        <v>50</v>
      </c>
      <c r="M762" t="str">
        <f t="shared" si="11"/>
        <v>Old</v>
      </c>
      <c r="N762" t="s">
        <v>18</v>
      </c>
    </row>
    <row r="763" spans="1:14" x14ac:dyDescent="0.3">
      <c r="A763">
        <v>13216</v>
      </c>
      <c r="B763" t="s">
        <v>36</v>
      </c>
      <c r="C763" t="s">
        <v>38</v>
      </c>
      <c r="D763" s="6">
        <v>60000</v>
      </c>
      <c r="E763">
        <v>5</v>
      </c>
      <c r="F763" t="s">
        <v>13</v>
      </c>
      <c r="G763" t="s">
        <v>28</v>
      </c>
      <c r="H763" t="s">
        <v>15</v>
      </c>
      <c r="I763">
        <v>3</v>
      </c>
      <c r="J763" t="s">
        <v>46</v>
      </c>
      <c r="K763" t="s">
        <v>32</v>
      </c>
      <c r="L763">
        <v>59</v>
      </c>
      <c r="M763" t="str">
        <f t="shared" si="11"/>
        <v>Old</v>
      </c>
      <c r="N763" t="s">
        <v>18</v>
      </c>
    </row>
    <row r="764" spans="1:14" x14ac:dyDescent="0.3">
      <c r="A764">
        <v>20657</v>
      </c>
      <c r="B764" t="s">
        <v>39</v>
      </c>
      <c r="C764" t="s">
        <v>37</v>
      </c>
      <c r="D764" s="6">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37</v>
      </c>
      <c r="D765" s="6">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6">
        <v>60000</v>
      </c>
      <c r="E766">
        <v>0</v>
      </c>
      <c r="F766" t="s">
        <v>19</v>
      </c>
      <c r="G766" t="s">
        <v>14</v>
      </c>
      <c r="H766" t="s">
        <v>18</v>
      </c>
      <c r="I766">
        <v>1</v>
      </c>
      <c r="J766" t="s">
        <v>26</v>
      </c>
      <c r="K766" t="s">
        <v>32</v>
      </c>
      <c r="L766">
        <v>27</v>
      </c>
      <c r="M766" t="str">
        <f t="shared" si="11"/>
        <v>Adolescent</v>
      </c>
      <c r="N766" t="s">
        <v>18</v>
      </c>
    </row>
    <row r="767" spans="1:14" x14ac:dyDescent="0.3">
      <c r="A767">
        <v>16753</v>
      </c>
      <c r="B767" t="s">
        <v>39</v>
      </c>
      <c r="C767" t="s">
        <v>38</v>
      </c>
      <c r="D767" s="6">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37</v>
      </c>
      <c r="D768" s="6">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6">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6">
        <v>120000</v>
      </c>
      <c r="E770">
        <v>1</v>
      </c>
      <c r="F770" t="s">
        <v>27</v>
      </c>
      <c r="G770" t="s">
        <v>21</v>
      </c>
      <c r="H770" t="s">
        <v>18</v>
      </c>
      <c r="I770">
        <v>4</v>
      </c>
      <c r="J770" t="s">
        <v>22</v>
      </c>
      <c r="K770" t="s">
        <v>32</v>
      </c>
      <c r="L770">
        <v>45</v>
      </c>
      <c r="M770" t="str">
        <f t="shared" ref="M770:M833" si="12">IF(L770&gt;=50,"Old",IF(L770&gt;=31,"Middle Age",IF(L770&lt;31,"Adolescent","Invalid")))</f>
        <v>Middle Age</v>
      </c>
      <c r="N770" t="s">
        <v>18</v>
      </c>
    </row>
    <row r="771" spans="1:14" x14ac:dyDescent="0.3">
      <c r="A771">
        <v>18952</v>
      </c>
      <c r="B771" t="s">
        <v>36</v>
      </c>
      <c r="C771" t="s">
        <v>38</v>
      </c>
      <c r="D771" s="6">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37</v>
      </c>
      <c r="D772" s="6">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37</v>
      </c>
      <c r="D773" s="6">
        <v>80000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37</v>
      </c>
      <c r="D774" s="6">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6">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6">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37</v>
      </c>
      <c r="D777" s="6">
        <v>70000</v>
      </c>
      <c r="E777">
        <v>2</v>
      </c>
      <c r="F777" t="s">
        <v>29</v>
      </c>
      <c r="G777" t="s">
        <v>14</v>
      </c>
      <c r="H777" t="s">
        <v>15</v>
      </c>
      <c r="I777">
        <v>2</v>
      </c>
      <c r="J777" t="s">
        <v>46</v>
      </c>
      <c r="K777" t="s">
        <v>32</v>
      </c>
      <c r="L777">
        <v>54</v>
      </c>
      <c r="M777" t="str">
        <f t="shared" si="12"/>
        <v>Old</v>
      </c>
      <c r="N777" t="s">
        <v>18</v>
      </c>
    </row>
    <row r="778" spans="1:14" x14ac:dyDescent="0.3">
      <c r="A778">
        <v>26490</v>
      </c>
      <c r="B778" t="s">
        <v>39</v>
      </c>
      <c r="C778" t="s">
        <v>37</v>
      </c>
      <c r="D778" s="6">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37</v>
      </c>
      <c r="D779" s="6">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37</v>
      </c>
      <c r="D780" s="6">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37</v>
      </c>
      <c r="D781" s="6">
        <v>80000</v>
      </c>
      <c r="E781">
        <v>3</v>
      </c>
      <c r="F781" t="s">
        <v>19</v>
      </c>
      <c r="G781" t="s">
        <v>21</v>
      </c>
      <c r="H781" t="s">
        <v>18</v>
      </c>
      <c r="I781">
        <v>2</v>
      </c>
      <c r="J781" t="s">
        <v>22</v>
      </c>
      <c r="K781" t="s">
        <v>32</v>
      </c>
      <c r="L781">
        <v>50</v>
      </c>
      <c r="M781" t="str">
        <f t="shared" si="12"/>
        <v>Old</v>
      </c>
      <c r="N781" t="s">
        <v>15</v>
      </c>
    </row>
    <row r="782" spans="1:14" x14ac:dyDescent="0.3">
      <c r="A782">
        <v>18105</v>
      </c>
      <c r="B782" t="s">
        <v>36</v>
      </c>
      <c r="C782" t="s">
        <v>38</v>
      </c>
      <c r="D782" s="6">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37</v>
      </c>
      <c r="D783" s="6">
        <v>80000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37</v>
      </c>
      <c r="D784" s="6">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37</v>
      </c>
      <c r="D785" s="6">
        <v>60000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38</v>
      </c>
      <c r="D786" s="6">
        <v>10000</v>
      </c>
      <c r="E786">
        <v>2</v>
      </c>
      <c r="F786" t="s">
        <v>27</v>
      </c>
      <c r="G786" t="s">
        <v>25</v>
      </c>
      <c r="H786" t="s">
        <v>15</v>
      </c>
      <c r="I786">
        <v>2</v>
      </c>
      <c r="J786" t="s">
        <v>26</v>
      </c>
      <c r="K786" t="s">
        <v>32</v>
      </c>
      <c r="L786">
        <v>53</v>
      </c>
      <c r="M786" t="str">
        <f t="shared" si="12"/>
        <v>Old</v>
      </c>
      <c r="N786" t="s">
        <v>15</v>
      </c>
    </row>
    <row r="787" spans="1:14" x14ac:dyDescent="0.3">
      <c r="A787">
        <v>24496</v>
      </c>
      <c r="B787" t="s">
        <v>39</v>
      </c>
      <c r="C787" t="s">
        <v>38</v>
      </c>
      <c r="D787" s="6">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6">
        <v>50000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38</v>
      </c>
      <c r="D789" s="6">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38</v>
      </c>
      <c r="D790" s="6">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37</v>
      </c>
      <c r="D791" s="6">
        <v>60000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38</v>
      </c>
      <c r="D792" s="6">
        <v>80000</v>
      </c>
      <c r="E792">
        <v>2</v>
      </c>
      <c r="F792" t="s">
        <v>29</v>
      </c>
      <c r="G792" t="s">
        <v>14</v>
      </c>
      <c r="H792" t="s">
        <v>18</v>
      </c>
      <c r="I792">
        <v>2</v>
      </c>
      <c r="J792" t="s">
        <v>26</v>
      </c>
      <c r="K792" t="s">
        <v>32</v>
      </c>
      <c r="L792">
        <v>50</v>
      </c>
      <c r="M792" t="str">
        <f t="shared" si="12"/>
        <v>Old</v>
      </c>
      <c r="N792" t="s">
        <v>18</v>
      </c>
    </row>
    <row r="793" spans="1:14" x14ac:dyDescent="0.3">
      <c r="A793">
        <v>18363</v>
      </c>
      <c r="B793" t="s">
        <v>36</v>
      </c>
      <c r="C793" t="s">
        <v>37</v>
      </c>
      <c r="D793" s="6">
        <v>40000</v>
      </c>
      <c r="E793">
        <v>0</v>
      </c>
      <c r="F793" t="s">
        <v>27</v>
      </c>
      <c r="G793" t="s">
        <v>14</v>
      </c>
      <c r="H793" t="s">
        <v>15</v>
      </c>
      <c r="I793">
        <v>2</v>
      </c>
      <c r="J793" t="s">
        <v>23</v>
      </c>
      <c r="K793" t="s">
        <v>32</v>
      </c>
      <c r="L793">
        <v>28</v>
      </c>
      <c r="M793" t="str">
        <f t="shared" si="12"/>
        <v>Adolescent</v>
      </c>
      <c r="N793" t="s">
        <v>15</v>
      </c>
    </row>
    <row r="794" spans="1:14" x14ac:dyDescent="0.3">
      <c r="A794">
        <v>23256</v>
      </c>
      <c r="B794" t="s">
        <v>39</v>
      </c>
      <c r="C794" t="s">
        <v>37</v>
      </c>
      <c r="D794" s="6">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37</v>
      </c>
      <c r="D795" s="6">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37</v>
      </c>
      <c r="D796" s="6">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37</v>
      </c>
      <c r="D797" s="6">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37</v>
      </c>
      <c r="D798" s="6">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37</v>
      </c>
      <c r="D799" s="6">
        <v>60000</v>
      </c>
      <c r="E799">
        <v>0</v>
      </c>
      <c r="F799" t="s">
        <v>19</v>
      </c>
      <c r="G799" t="s">
        <v>14</v>
      </c>
      <c r="H799" t="s">
        <v>15</v>
      </c>
      <c r="I799">
        <v>1</v>
      </c>
      <c r="J799" t="s">
        <v>23</v>
      </c>
      <c r="K799" t="s">
        <v>32</v>
      </c>
      <c r="L799">
        <v>27</v>
      </c>
      <c r="M799" t="str">
        <f t="shared" si="12"/>
        <v>Adolescent</v>
      </c>
      <c r="N799" t="s">
        <v>15</v>
      </c>
    </row>
    <row r="800" spans="1:14" x14ac:dyDescent="0.3">
      <c r="A800">
        <v>22971</v>
      </c>
      <c r="B800" t="s">
        <v>39</v>
      </c>
      <c r="C800" t="s">
        <v>38</v>
      </c>
      <c r="D800" s="6">
        <v>30000</v>
      </c>
      <c r="E800">
        <v>0</v>
      </c>
      <c r="F800" t="s">
        <v>27</v>
      </c>
      <c r="G800" t="s">
        <v>14</v>
      </c>
      <c r="H800" t="s">
        <v>18</v>
      </c>
      <c r="I800">
        <v>2</v>
      </c>
      <c r="J800" t="s">
        <v>16</v>
      </c>
      <c r="K800" t="s">
        <v>32</v>
      </c>
      <c r="L800">
        <v>25</v>
      </c>
      <c r="M800" t="str">
        <f t="shared" si="12"/>
        <v>Adolescent</v>
      </c>
      <c r="N800" t="s">
        <v>15</v>
      </c>
    </row>
    <row r="801" spans="1:14" x14ac:dyDescent="0.3">
      <c r="A801">
        <v>15287</v>
      </c>
      <c r="B801" t="s">
        <v>39</v>
      </c>
      <c r="C801" t="s">
        <v>38</v>
      </c>
      <c r="D801" s="6">
        <v>50000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37</v>
      </c>
      <c r="D802" s="6">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37</v>
      </c>
      <c r="D803" s="6">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37</v>
      </c>
      <c r="D804" s="6">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37</v>
      </c>
      <c r="D805" s="6">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37</v>
      </c>
      <c r="D806" s="6">
        <v>40000</v>
      </c>
      <c r="E806">
        <v>0</v>
      </c>
      <c r="F806" t="s">
        <v>27</v>
      </c>
      <c r="G806" t="s">
        <v>14</v>
      </c>
      <c r="H806" t="s">
        <v>18</v>
      </c>
      <c r="I806">
        <v>2</v>
      </c>
      <c r="J806" t="s">
        <v>16</v>
      </c>
      <c r="K806" t="s">
        <v>32</v>
      </c>
      <c r="L806">
        <v>27</v>
      </c>
      <c r="M806" t="str">
        <f t="shared" si="12"/>
        <v>Adolescent</v>
      </c>
      <c r="N806" t="s">
        <v>15</v>
      </c>
    </row>
    <row r="807" spans="1:14" x14ac:dyDescent="0.3">
      <c r="A807">
        <v>26778</v>
      </c>
      <c r="B807" t="s">
        <v>39</v>
      </c>
      <c r="C807" t="s">
        <v>38</v>
      </c>
      <c r="D807" s="6">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6">
        <v>10000</v>
      </c>
      <c r="E808">
        <v>2</v>
      </c>
      <c r="F808" t="s">
        <v>27</v>
      </c>
      <c r="G808" t="s">
        <v>25</v>
      </c>
      <c r="H808" t="s">
        <v>15</v>
      </c>
      <c r="I808">
        <v>2</v>
      </c>
      <c r="J808" t="s">
        <v>26</v>
      </c>
      <c r="K808" t="s">
        <v>32</v>
      </c>
      <c r="L808">
        <v>53</v>
      </c>
      <c r="M808" t="str">
        <f t="shared" si="12"/>
        <v>Old</v>
      </c>
      <c r="N808" t="s">
        <v>18</v>
      </c>
    </row>
    <row r="809" spans="1:14" x14ac:dyDescent="0.3">
      <c r="A809">
        <v>21417</v>
      </c>
      <c r="B809" t="s">
        <v>39</v>
      </c>
      <c r="C809" t="s">
        <v>38</v>
      </c>
      <c r="D809" s="6">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37</v>
      </c>
      <c r="D810" s="6">
        <v>30000</v>
      </c>
      <c r="E810">
        <v>2</v>
      </c>
      <c r="F810" t="s">
        <v>27</v>
      </c>
      <c r="G810" t="s">
        <v>14</v>
      </c>
      <c r="H810" t="s">
        <v>15</v>
      </c>
      <c r="I810">
        <v>2</v>
      </c>
      <c r="J810" t="s">
        <v>26</v>
      </c>
      <c r="K810" t="s">
        <v>32</v>
      </c>
      <c r="L810">
        <v>50</v>
      </c>
      <c r="M810" t="str">
        <f t="shared" si="12"/>
        <v>Old</v>
      </c>
      <c r="N810" t="s">
        <v>15</v>
      </c>
    </row>
    <row r="811" spans="1:14" x14ac:dyDescent="0.3">
      <c r="A811">
        <v>27994</v>
      </c>
      <c r="B811" t="s">
        <v>36</v>
      </c>
      <c r="C811" t="s">
        <v>38</v>
      </c>
      <c r="D811" s="6">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38</v>
      </c>
      <c r="D812" s="6">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37</v>
      </c>
      <c r="D813" s="6">
        <v>60000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38</v>
      </c>
      <c r="D814" s="6">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6">
        <v>70000</v>
      </c>
      <c r="E815">
        <v>2</v>
      </c>
      <c r="F815" t="s">
        <v>27</v>
      </c>
      <c r="G815" t="s">
        <v>21</v>
      </c>
      <c r="H815" t="s">
        <v>15</v>
      </c>
      <c r="I815">
        <v>2</v>
      </c>
      <c r="J815" t="s">
        <v>46</v>
      </c>
      <c r="K815" t="s">
        <v>32</v>
      </c>
      <c r="L815">
        <v>53</v>
      </c>
      <c r="M815" t="str">
        <f t="shared" si="12"/>
        <v>Old</v>
      </c>
      <c r="N815" t="s">
        <v>18</v>
      </c>
    </row>
    <row r="816" spans="1:14" x14ac:dyDescent="0.3">
      <c r="A816">
        <v>13351</v>
      </c>
      <c r="B816" t="s">
        <v>39</v>
      </c>
      <c r="C816" t="s">
        <v>38</v>
      </c>
      <c r="D816" s="6">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37</v>
      </c>
      <c r="D817" s="6">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6">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6">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37</v>
      </c>
      <c r="D820" s="6">
        <v>40000</v>
      </c>
      <c r="E820">
        <v>0</v>
      </c>
      <c r="F820" t="s">
        <v>19</v>
      </c>
      <c r="G820" t="s">
        <v>14</v>
      </c>
      <c r="H820" t="s">
        <v>15</v>
      </c>
      <c r="I820">
        <v>1</v>
      </c>
      <c r="J820" t="s">
        <v>23</v>
      </c>
      <c r="K820" t="s">
        <v>32</v>
      </c>
      <c r="L820">
        <v>30</v>
      </c>
      <c r="M820" t="str">
        <f t="shared" si="12"/>
        <v>Adolescent</v>
      </c>
      <c r="N820" t="s">
        <v>18</v>
      </c>
    </row>
    <row r="821" spans="1:14" x14ac:dyDescent="0.3">
      <c r="A821">
        <v>27505</v>
      </c>
      <c r="B821" t="s">
        <v>39</v>
      </c>
      <c r="C821" t="s">
        <v>38</v>
      </c>
      <c r="D821" s="6">
        <v>40000</v>
      </c>
      <c r="E821">
        <v>0</v>
      </c>
      <c r="F821" t="s">
        <v>27</v>
      </c>
      <c r="G821" t="s">
        <v>14</v>
      </c>
      <c r="H821" t="s">
        <v>15</v>
      </c>
      <c r="I821">
        <v>2</v>
      </c>
      <c r="J821" t="s">
        <v>23</v>
      </c>
      <c r="K821" t="s">
        <v>32</v>
      </c>
      <c r="L821">
        <v>30</v>
      </c>
      <c r="M821" t="str">
        <f t="shared" si="12"/>
        <v>Adolescent</v>
      </c>
      <c r="N821" t="s">
        <v>18</v>
      </c>
    </row>
    <row r="822" spans="1:14" x14ac:dyDescent="0.3">
      <c r="A822">
        <v>29243</v>
      </c>
      <c r="B822" t="s">
        <v>39</v>
      </c>
      <c r="C822" t="s">
        <v>37</v>
      </c>
      <c r="D822" s="6">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37</v>
      </c>
      <c r="D823" s="6">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37</v>
      </c>
      <c r="D824" s="6">
        <v>30000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38</v>
      </c>
      <c r="D825" s="6">
        <v>70000</v>
      </c>
      <c r="E825">
        <v>4</v>
      </c>
      <c r="F825" t="s">
        <v>27</v>
      </c>
      <c r="G825" t="s">
        <v>21</v>
      </c>
      <c r="H825" t="s">
        <v>15</v>
      </c>
      <c r="I825">
        <v>0</v>
      </c>
      <c r="J825" t="s">
        <v>23</v>
      </c>
      <c r="K825" t="s">
        <v>32</v>
      </c>
      <c r="L825">
        <v>50</v>
      </c>
      <c r="M825" t="str">
        <f t="shared" si="12"/>
        <v>Old</v>
      </c>
      <c r="N825" t="s">
        <v>15</v>
      </c>
    </row>
    <row r="826" spans="1:14" x14ac:dyDescent="0.3">
      <c r="A826">
        <v>29048</v>
      </c>
      <c r="B826" t="s">
        <v>39</v>
      </c>
      <c r="C826" t="s">
        <v>37</v>
      </c>
      <c r="D826" s="6">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37</v>
      </c>
      <c r="D827" s="6">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37</v>
      </c>
      <c r="D828" s="6">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38</v>
      </c>
      <c r="D829" s="6">
        <v>80000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38</v>
      </c>
      <c r="D830" s="6">
        <v>40000</v>
      </c>
      <c r="E830">
        <v>0</v>
      </c>
      <c r="F830" t="s">
        <v>29</v>
      </c>
      <c r="G830" t="s">
        <v>20</v>
      </c>
      <c r="H830" t="s">
        <v>15</v>
      </c>
      <c r="I830">
        <v>2</v>
      </c>
      <c r="J830" t="s">
        <v>23</v>
      </c>
      <c r="K830" t="s">
        <v>32</v>
      </c>
      <c r="L830">
        <v>26</v>
      </c>
      <c r="M830" t="str">
        <f t="shared" si="12"/>
        <v>Adolescent</v>
      </c>
      <c r="N830" t="s">
        <v>18</v>
      </c>
    </row>
    <row r="831" spans="1:14" x14ac:dyDescent="0.3">
      <c r="A831">
        <v>16009</v>
      </c>
      <c r="B831" t="s">
        <v>39</v>
      </c>
      <c r="C831" t="s">
        <v>37</v>
      </c>
      <c r="D831" s="6">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37</v>
      </c>
      <c r="D832" s="6">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6">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6">
        <v>60000</v>
      </c>
      <c r="E834">
        <v>0</v>
      </c>
      <c r="F834" t="s">
        <v>31</v>
      </c>
      <c r="G834" t="s">
        <v>21</v>
      </c>
      <c r="H834" t="s">
        <v>15</v>
      </c>
      <c r="I834">
        <v>0</v>
      </c>
      <c r="J834" t="s">
        <v>16</v>
      </c>
      <c r="K834" t="s">
        <v>32</v>
      </c>
      <c r="L834">
        <v>39</v>
      </c>
      <c r="M834" t="str">
        <f t="shared" ref="M834:M897" si="13">IF(L834&gt;=50,"Old",IF(L834&gt;=31,"Middle Age",IF(L834&lt;31,"Adolescent","Invalid")))</f>
        <v>Middle Age</v>
      </c>
      <c r="N834" t="s">
        <v>18</v>
      </c>
    </row>
    <row r="835" spans="1:14" x14ac:dyDescent="0.3">
      <c r="A835">
        <v>27540</v>
      </c>
      <c r="B835" t="s">
        <v>39</v>
      </c>
      <c r="C835" t="s">
        <v>38</v>
      </c>
      <c r="D835" s="6">
        <v>70000</v>
      </c>
      <c r="E835">
        <v>0</v>
      </c>
      <c r="F835" t="s">
        <v>13</v>
      </c>
      <c r="G835" t="s">
        <v>21</v>
      </c>
      <c r="H835" t="s">
        <v>18</v>
      </c>
      <c r="I835">
        <v>1</v>
      </c>
      <c r="J835" t="s">
        <v>16</v>
      </c>
      <c r="K835" t="s">
        <v>32</v>
      </c>
      <c r="L835">
        <v>37</v>
      </c>
      <c r="M835" t="str">
        <f t="shared" si="13"/>
        <v>Middle Age</v>
      </c>
      <c r="N835" t="s">
        <v>15</v>
      </c>
    </row>
    <row r="836" spans="1:14" x14ac:dyDescent="0.3">
      <c r="A836">
        <v>19889</v>
      </c>
      <c r="B836" t="s">
        <v>39</v>
      </c>
      <c r="C836" t="s">
        <v>38</v>
      </c>
      <c r="D836" s="6">
        <v>70000</v>
      </c>
      <c r="E836">
        <v>2</v>
      </c>
      <c r="F836" t="s">
        <v>29</v>
      </c>
      <c r="G836" t="s">
        <v>14</v>
      </c>
      <c r="H836" t="s">
        <v>18</v>
      </c>
      <c r="I836">
        <v>2</v>
      </c>
      <c r="J836" t="s">
        <v>22</v>
      </c>
      <c r="K836" t="s">
        <v>32</v>
      </c>
      <c r="L836">
        <v>54</v>
      </c>
      <c r="M836" t="str">
        <f t="shared" si="13"/>
        <v>Old</v>
      </c>
      <c r="N836" t="s">
        <v>15</v>
      </c>
    </row>
    <row r="837" spans="1:14" x14ac:dyDescent="0.3">
      <c r="A837">
        <v>12922</v>
      </c>
      <c r="B837" t="s">
        <v>39</v>
      </c>
      <c r="C837" t="s">
        <v>38</v>
      </c>
      <c r="D837" s="6">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6">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37</v>
      </c>
      <c r="D839" s="6">
        <v>60000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38</v>
      </c>
      <c r="D840" s="6">
        <v>80000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38</v>
      </c>
      <c r="D841" s="6">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37</v>
      </c>
      <c r="D842" s="6">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37</v>
      </c>
      <c r="D843" s="6">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6">
        <v>60000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37</v>
      </c>
      <c r="D845" s="6">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6">
        <v>40000</v>
      </c>
      <c r="E846">
        <v>5</v>
      </c>
      <c r="F846" t="s">
        <v>27</v>
      </c>
      <c r="G846" t="s">
        <v>21</v>
      </c>
      <c r="H846" t="s">
        <v>15</v>
      </c>
      <c r="I846">
        <v>2</v>
      </c>
      <c r="J846" t="s">
        <v>46</v>
      </c>
      <c r="K846" t="s">
        <v>32</v>
      </c>
      <c r="L846">
        <v>60</v>
      </c>
      <c r="M846" t="str">
        <f t="shared" si="13"/>
        <v>Old</v>
      </c>
      <c r="N846" t="s">
        <v>18</v>
      </c>
    </row>
    <row r="847" spans="1:14" x14ac:dyDescent="0.3">
      <c r="A847">
        <v>25343</v>
      </c>
      <c r="B847" t="s">
        <v>39</v>
      </c>
      <c r="C847" t="s">
        <v>38</v>
      </c>
      <c r="D847" s="6">
        <v>20000</v>
      </c>
      <c r="E847">
        <v>3</v>
      </c>
      <c r="F847" t="s">
        <v>29</v>
      </c>
      <c r="G847" t="s">
        <v>20</v>
      </c>
      <c r="H847" t="s">
        <v>15</v>
      </c>
      <c r="I847">
        <v>2</v>
      </c>
      <c r="J847" t="s">
        <v>26</v>
      </c>
      <c r="K847" t="s">
        <v>32</v>
      </c>
      <c r="L847">
        <v>50</v>
      </c>
      <c r="M847" t="str">
        <f t="shared" si="13"/>
        <v>Old</v>
      </c>
      <c r="N847" t="s">
        <v>18</v>
      </c>
    </row>
    <row r="848" spans="1:14" x14ac:dyDescent="0.3">
      <c r="A848">
        <v>13390</v>
      </c>
      <c r="B848" t="s">
        <v>36</v>
      </c>
      <c r="C848" t="s">
        <v>38</v>
      </c>
      <c r="D848" s="6">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38</v>
      </c>
      <c r="D849" s="6">
        <v>40000</v>
      </c>
      <c r="E849">
        <v>0</v>
      </c>
      <c r="F849" t="s">
        <v>29</v>
      </c>
      <c r="G849" t="s">
        <v>20</v>
      </c>
      <c r="H849" t="s">
        <v>15</v>
      </c>
      <c r="I849">
        <v>2</v>
      </c>
      <c r="J849" t="s">
        <v>23</v>
      </c>
      <c r="K849" t="s">
        <v>32</v>
      </c>
      <c r="L849">
        <v>29</v>
      </c>
      <c r="M849" t="str">
        <f t="shared" si="13"/>
        <v>Adolescent</v>
      </c>
      <c r="N849" t="s">
        <v>18</v>
      </c>
    </row>
    <row r="850" spans="1:14" x14ac:dyDescent="0.3">
      <c r="A850">
        <v>13176</v>
      </c>
      <c r="B850" t="s">
        <v>39</v>
      </c>
      <c r="C850" t="s">
        <v>37</v>
      </c>
      <c r="D850" s="6">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6">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38</v>
      </c>
      <c r="D852" s="6">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37</v>
      </c>
      <c r="D853" s="6">
        <v>60000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37</v>
      </c>
      <c r="D854" s="6">
        <v>50000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37</v>
      </c>
      <c r="D855" s="6">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6">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38</v>
      </c>
      <c r="D857" s="6">
        <v>30000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37</v>
      </c>
      <c r="D858" s="6">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6">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37</v>
      </c>
      <c r="D860" s="6">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37</v>
      </c>
      <c r="D861" s="6">
        <v>30000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37</v>
      </c>
      <c r="D862" s="6">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6">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37</v>
      </c>
      <c r="D864" s="6">
        <v>50000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37</v>
      </c>
      <c r="D865" s="6">
        <v>80000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37</v>
      </c>
      <c r="D866" s="6">
        <v>40000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38</v>
      </c>
      <c r="D867" s="6">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37</v>
      </c>
      <c r="D868" s="6">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37</v>
      </c>
      <c r="D869" s="6">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37</v>
      </c>
      <c r="D870" s="6">
        <v>30000</v>
      </c>
      <c r="E870">
        <v>5</v>
      </c>
      <c r="F870" t="s">
        <v>29</v>
      </c>
      <c r="G870" t="s">
        <v>14</v>
      </c>
      <c r="H870" t="s">
        <v>15</v>
      </c>
      <c r="I870">
        <v>3</v>
      </c>
      <c r="J870" t="s">
        <v>46</v>
      </c>
      <c r="K870" t="s">
        <v>32</v>
      </c>
      <c r="L870">
        <v>60</v>
      </c>
      <c r="M870" t="str">
        <f t="shared" si="13"/>
        <v>Old</v>
      </c>
      <c r="N870" t="s">
        <v>15</v>
      </c>
    </row>
    <row r="871" spans="1:14" x14ac:dyDescent="0.3">
      <c r="A871">
        <v>26065</v>
      </c>
      <c r="B871" t="s">
        <v>39</v>
      </c>
      <c r="C871" t="s">
        <v>38</v>
      </c>
      <c r="D871" s="6">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37</v>
      </c>
      <c r="D872" s="6">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37</v>
      </c>
      <c r="D873" s="6">
        <v>60000</v>
      </c>
      <c r="E873">
        <v>2</v>
      </c>
      <c r="F873" t="s">
        <v>27</v>
      </c>
      <c r="G873" t="s">
        <v>21</v>
      </c>
      <c r="H873" t="s">
        <v>15</v>
      </c>
      <c r="I873">
        <v>2</v>
      </c>
      <c r="J873" t="s">
        <v>46</v>
      </c>
      <c r="K873" t="s">
        <v>32</v>
      </c>
      <c r="L873">
        <v>55</v>
      </c>
      <c r="M873" t="str">
        <f t="shared" si="13"/>
        <v>Old</v>
      </c>
      <c r="N873" t="s">
        <v>18</v>
      </c>
    </row>
    <row r="874" spans="1:14" x14ac:dyDescent="0.3">
      <c r="A874">
        <v>22118</v>
      </c>
      <c r="B874" t="s">
        <v>39</v>
      </c>
      <c r="C874" t="s">
        <v>38</v>
      </c>
      <c r="D874" s="6">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37</v>
      </c>
      <c r="D875" s="6">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6">
        <v>30000</v>
      </c>
      <c r="E876">
        <v>1</v>
      </c>
      <c r="F876" t="s">
        <v>13</v>
      </c>
      <c r="G876" t="s">
        <v>14</v>
      </c>
      <c r="H876" t="s">
        <v>15</v>
      </c>
      <c r="I876">
        <v>1</v>
      </c>
      <c r="J876" t="s">
        <v>23</v>
      </c>
      <c r="K876" t="s">
        <v>32</v>
      </c>
      <c r="L876">
        <v>53</v>
      </c>
      <c r="M876" t="str">
        <f t="shared" si="13"/>
        <v>Old</v>
      </c>
      <c r="N876" t="s">
        <v>15</v>
      </c>
    </row>
    <row r="877" spans="1:14" x14ac:dyDescent="0.3">
      <c r="A877">
        <v>27279</v>
      </c>
      <c r="B877" t="s">
        <v>39</v>
      </c>
      <c r="C877" t="s">
        <v>38</v>
      </c>
      <c r="D877" s="6">
        <v>70000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37</v>
      </c>
      <c r="D878" s="6">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37</v>
      </c>
      <c r="D879" s="6">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37</v>
      </c>
      <c r="D880" s="6">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37</v>
      </c>
      <c r="D881" s="6">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37</v>
      </c>
      <c r="D882" s="6">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6">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37</v>
      </c>
      <c r="D884" s="6">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6">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37</v>
      </c>
      <c r="D886" s="6">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6">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37</v>
      </c>
      <c r="D888" s="6">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37</v>
      </c>
      <c r="D889" s="6">
        <v>50000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38</v>
      </c>
      <c r="D890" s="6">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6">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6">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37</v>
      </c>
      <c r="D893" s="6">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38</v>
      </c>
      <c r="D894" s="6">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37</v>
      </c>
      <c r="D895" s="6">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37</v>
      </c>
      <c r="D896" s="6">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6">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6">
        <v>50000</v>
      </c>
      <c r="E898">
        <v>1</v>
      </c>
      <c r="F898" t="s">
        <v>13</v>
      </c>
      <c r="G898" t="s">
        <v>14</v>
      </c>
      <c r="H898" t="s">
        <v>15</v>
      </c>
      <c r="I898">
        <v>0</v>
      </c>
      <c r="J898" t="s">
        <v>16</v>
      </c>
      <c r="K898" t="s">
        <v>32</v>
      </c>
      <c r="L898">
        <v>34</v>
      </c>
      <c r="M898" t="str">
        <f t="shared" ref="M898:M961" si="14">IF(L898&gt;=50,"Old",IF(L898&gt;=31,"Middle Age",IF(L898&lt;31,"Adolescent","Invalid")))</f>
        <v>Middle Age</v>
      </c>
      <c r="N898" t="s">
        <v>15</v>
      </c>
    </row>
    <row r="899" spans="1:14" x14ac:dyDescent="0.3">
      <c r="A899">
        <v>12029</v>
      </c>
      <c r="B899" t="s">
        <v>36</v>
      </c>
      <c r="C899" t="s">
        <v>37</v>
      </c>
      <c r="D899" s="6">
        <v>30000</v>
      </c>
      <c r="E899">
        <v>0</v>
      </c>
      <c r="F899" t="s">
        <v>29</v>
      </c>
      <c r="G899" t="s">
        <v>20</v>
      </c>
      <c r="H899" t="s">
        <v>18</v>
      </c>
      <c r="I899">
        <v>2</v>
      </c>
      <c r="J899" t="s">
        <v>16</v>
      </c>
      <c r="K899" t="s">
        <v>32</v>
      </c>
      <c r="L899">
        <v>28</v>
      </c>
      <c r="M899" t="str">
        <f t="shared" si="14"/>
        <v>Adolescent</v>
      </c>
      <c r="N899" t="s">
        <v>18</v>
      </c>
    </row>
    <row r="900" spans="1:14" x14ac:dyDescent="0.3">
      <c r="A900">
        <v>18066</v>
      </c>
      <c r="B900" t="s">
        <v>39</v>
      </c>
      <c r="C900" t="s">
        <v>37</v>
      </c>
      <c r="D900" s="6">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6">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37</v>
      </c>
      <c r="D902" s="6">
        <v>40000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38</v>
      </c>
      <c r="D903" s="6">
        <v>60000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37</v>
      </c>
      <c r="D904" s="6">
        <v>80000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37</v>
      </c>
      <c r="D905" s="6">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38</v>
      </c>
      <c r="D906" s="6">
        <v>60000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37</v>
      </c>
      <c r="D907" s="6">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37</v>
      </c>
      <c r="D908" s="6">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37</v>
      </c>
      <c r="D909" s="6">
        <v>50000</v>
      </c>
      <c r="E909">
        <v>4</v>
      </c>
      <c r="F909" t="s">
        <v>13</v>
      </c>
      <c r="G909" t="s">
        <v>28</v>
      </c>
      <c r="H909" t="s">
        <v>15</v>
      </c>
      <c r="I909">
        <v>2</v>
      </c>
      <c r="J909" t="s">
        <v>46</v>
      </c>
      <c r="K909" t="s">
        <v>32</v>
      </c>
      <c r="L909">
        <v>63</v>
      </c>
      <c r="M909" t="str">
        <f t="shared" si="14"/>
        <v>Old</v>
      </c>
      <c r="N909" t="s">
        <v>18</v>
      </c>
    </row>
    <row r="910" spans="1:14" x14ac:dyDescent="0.3">
      <c r="A910">
        <v>23195</v>
      </c>
      <c r="B910" t="s">
        <v>39</v>
      </c>
      <c r="C910" t="s">
        <v>37</v>
      </c>
      <c r="D910" s="6">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37</v>
      </c>
      <c r="D911" s="6">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37</v>
      </c>
      <c r="D912" s="6">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6">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6">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37</v>
      </c>
      <c r="D915" s="6">
        <v>60000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37</v>
      </c>
      <c r="D916" s="6">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37</v>
      </c>
      <c r="D917" s="6">
        <v>60000</v>
      </c>
      <c r="E917">
        <v>3</v>
      </c>
      <c r="F917" t="s">
        <v>31</v>
      </c>
      <c r="G917" t="s">
        <v>28</v>
      </c>
      <c r="H917" t="s">
        <v>15</v>
      </c>
      <c r="I917">
        <v>2</v>
      </c>
      <c r="J917" t="s">
        <v>46</v>
      </c>
      <c r="K917" t="s">
        <v>32</v>
      </c>
      <c r="L917">
        <v>64</v>
      </c>
      <c r="M917" t="str">
        <f t="shared" si="14"/>
        <v>Old</v>
      </c>
      <c r="N917" t="s">
        <v>18</v>
      </c>
    </row>
    <row r="918" spans="1:14" x14ac:dyDescent="0.3">
      <c r="A918">
        <v>27273</v>
      </c>
      <c r="B918" t="s">
        <v>39</v>
      </c>
      <c r="C918" t="s">
        <v>37</v>
      </c>
      <c r="D918" s="6">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37</v>
      </c>
      <c r="D919" s="6">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6">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6">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37</v>
      </c>
      <c r="D922" s="6">
        <v>30000</v>
      </c>
      <c r="E922">
        <v>2</v>
      </c>
      <c r="F922" t="s">
        <v>27</v>
      </c>
      <c r="G922" t="s">
        <v>14</v>
      </c>
      <c r="H922" t="s">
        <v>15</v>
      </c>
      <c r="I922">
        <v>2</v>
      </c>
      <c r="J922" t="s">
        <v>26</v>
      </c>
      <c r="K922" t="s">
        <v>32</v>
      </c>
      <c r="L922">
        <v>51</v>
      </c>
      <c r="M922" t="str">
        <f t="shared" si="14"/>
        <v>Old</v>
      </c>
      <c r="N922" t="s">
        <v>18</v>
      </c>
    </row>
    <row r="923" spans="1:14" x14ac:dyDescent="0.3">
      <c r="A923">
        <v>12153</v>
      </c>
      <c r="B923" t="s">
        <v>39</v>
      </c>
      <c r="C923" t="s">
        <v>38</v>
      </c>
      <c r="D923" s="6">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6">
        <v>40000</v>
      </c>
      <c r="E924">
        <v>3</v>
      </c>
      <c r="F924" t="s">
        <v>19</v>
      </c>
      <c r="G924" t="s">
        <v>21</v>
      </c>
      <c r="H924" t="s">
        <v>18</v>
      </c>
      <c r="I924">
        <v>2</v>
      </c>
      <c r="J924" t="s">
        <v>26</v>
      </c>
      <c r="K924" t="s">
        <v>32</v>
      </c>
      <c r="L924">
        <v>54</v>
      </c>
      <c r="M924" t="str">
        <f t="shared" si="14"/>
        <v>Old</v>
      </c>
      <c r="N924" t="s">
        <v>15</v>
      </c>
    </row>
    <row r="925" spans="1:14" x14ac:dyDescent="0.3">
      <c r="A925">
        <v>26728</v>
      </c>
      <c r="B925" t="s">
        <v>39</v>
      </c>
      <c r="C925" t="s">
        <v>37</v>
      </c>
      <c r="D925" s="6">
        <v>70000</v>
      </c>
      <c r="E925">
        <v>3</v>
      </c>
      <c r="F925" t="s">
        <v>31</v>
      </c>
      <c r="G925" t="s">
        <v>28</v>
      </c>
      <c r="H925" t="s">
        <v>18</v>
      </c>
      <c r="I925">
        <v>2</v>
      </c>
      <c r="J925" t="s">
        <v>26</v>
      </c>
      <c r="K925" t="s">
        <v>32</v>
      </c>
      <c r="L925">
        <v>53</v>
      </c>
      <c r="M925" t="str">
        <f t="shared" si="14"/>
        <v>Old</v>
      </c>
      <c r="N925" t="s">
        <v>15</v>
      </c>
    </row>
    <row r="926" spans="1:14" x14ac:dyDescent="0.3">
      <c r="A926">
        <v>11090</v>
      </c>
      <c r="B926" t="s">
        <v>39</v>
      </c>
      <c r="C926" t="s">
        <v>37</v>
      </c>
      <c r="D926" s="6">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38</v>
      </c>
      <c r="D927" s="6">
        <v>50000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38</v>
      </c>
      <c r="D928" s="6">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6">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37</v>
      </c>
      <c r="D930" s="6">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37</v>
      </c>
      <c r="D931" s="6">
        <v>60000</v>
      </c>
      <c r="E931">
        <v>2</v>
      </c>
      <c r="F931" t="s">
        <v>27</v>
      </c>
      <c r="G931" t="s">
        <v>21</v>
      </c>
      <c r="H931" t="s">
        <v>15</v>
      </c>
      <c r="I931">
        <v>2</v>
      </c>
      <c r="J931" t="s">
        <v>23</v>
      </c>
      <c r="K931" t="s">
        <v>32</v>
      </c>
      <c r="L931">
        <v>50</v>
      </c>
      <c r="M931" t="str">
        <f t="shared" si="14"/>
        <v>Old</v>
      </c>
      <c r="N931" t="s">
        <v>18</v>
      </c>
    </row>
    <row r="932" spans="1:14" x14ac:dyDescent="0.3">
      <c r="A932">
        <v>19543</v>
      </c>
      <c r="B932" t="s">
        <v>36</v>
      </c>
      <c r="C932" t="s">
        <v>37</v>
      </c>
      <c r="D932" s="6">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6">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38</v>
      </c>
      <c r="D934" s="6">
        <v>40000</v>
      </c>
      <c r="E934">
        <v>0</v>
      </c>
      <c r="F934" t="s">
        <v>27</v>
      </c>
      <c r="G934" t="s">
        <v>14</v>
      </c>
      <c r="H934" t="s">
        <v>18</v>
      </c>
      <c r="I934">
        <v>2</v>
      </c>
      <c r="J934" t="s">
        <v>16</v>
      </c>
      <c r="K934" t="s">
        <v>32</v>
      </c>
      <c r="L934">
        <v>27</v>
      </c>
      <c r="M934" t="str">
        <f t="shared" si="14"/>
        <v>Adolescent</v>
      </c>
      <c r="N934" t="s">
        <v>15</v>
      </c>
    </row>
    <row r="935" spans="1:14" x14ac:dyDescent="0.3">
      <c r="A935">
        <v>11941</v>
      </c>
      <c r="B935" t="s">
        <v>39</v>
      </c>
      <c r="C935" t="s">
        <v>37</v>
      </c>
      <c r="D935" s="6">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37</v>
      </c>
      <c r="D936" s="6">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6">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6">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37</v>
      </c>
      <c r="D939" s="6">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6">
        <v>40000</v>
      </c>
      <c r="E940">
        <v>0</v>
      </c>
      <c r="F940" t="s">
        <v>27</v>
      </c>
      <c r="G940" t="s">
        <v>14</v>
      </c>
      <c r="H940" t="s">
        <v>15</v>
      </c>
      <c r="I940">
        <v>2</v>
      </c>
      <c r="J940" t="s">
        <v>23</v>
      </c>
      <c r="K940" t="s">
        <v>32</v>
      </c>
      <c r="L940">
        <v>27</v>
      </c>
      <c r="M940" t="str">
        <f t="shared" si="14"/>
        <v>Adolescent</v>
      </c>
      <c r="N940" t="s">
        <v>18</v>
      </c>
    </row>
    <row r="941" spans="1:14" x14ac:dyDescent="0.3">
      <c r="A941">
        <v>23455</v>
      </c>
      <c r="B941" t="s">
        <v>39</v>
      </c>
      <c r="C941" t="s">
        <v>37</v>
      </c>
      <c r="D941" s="6">
        <v>80000</v>
      </c>
      <c r="E941">
        <v>2</v>
      </c>
      <c r="F941" t="s">
        <v>29</v>
      </c>
      <c r="G941" t="s">
        <v>14</v>
      </c>
      <c r="H941" t="s">
        <v>18</v>
      </c>
      <c r="I941">
        <v>2</v>
      </c>
      <c r="J941" t="s">
        <v>26</v>
      </c>
      <c r="K941" t="s">
        <v>32</v>
      </c>
      <c r="L941">
        <v>50</v>
      </c>
      <c r="M941" t="str">
        <f t="shared" si="14"/>
        <v>Old</v>
      </c>
      <c r="N941" t="s">
        <v>18</v>
      </c>
    </row>
    <row r="942" spans="1:14" x14ac:dyDescent="0.3">
      <c r="A942">
        <v>15292</v>
      </c>
      <c r="B942" t="s">
        <v>39</v>
      </c>
      <c r="C942" t="s">
        <v>38</v>
      </c>
      <c r="D942" s="6">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6">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6">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6">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6">
        <v>50000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37</v>
      </c>
      <c r="D947" s="6">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6">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38</v>
      </c>
      <c r="D949" s="6">
        <v>90000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38</v>
      </c>
      <c r="D950" s="6">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37</v>
      </c>
      <c r="D951" s="6">
        <v>70000</v>
      </c>
      <c r="E951">
        <v>2</v>
      </c>
      <c r="F951" t="s">
        <v>29</v>
      </c>
      <c r="G951" t="s">
        <v>14</v>
      </c>
      <c r="H951" t="s">
        <v>15</v>
      </c>
      <c r="I951">
        <v>2</v>
      </c>
      <c r="J951" t="s">
        <v>46</v>
      </c>
      <c r="K951" t="s">
        <v>32</v>
      </c>
      <c r="L951">
        <v>53</v>
      </c>
      <c r="M951" t="str">
        <f t="shared" si="14"/>
        <v>Old</v>
      </c>
      <c r="N951" t="s">
        <v>18</v>
      </c>
    </row>
    <row r="952" spans="1:14" x14ac:dyDescent="0.3">
      <c r="A952">
        <v>11788</v>
      </c>
      <c r="B952" t="s">
        <v>39</v>
      </c>
      <c r="C952" t="s">
        <v>38</v>
      </c>
      <c r="D952" s="6">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37</v>
      </c>
      <c r="D953" s="6">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6">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38</v>
      </c>
      <c r="D955" s="6">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37</v>
      </c>
      <c r="D956" s="6">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6">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6">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6">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37</v>
      </c>
      <c r="D960" s="6">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37</v>
      </c>
      <c r="D961" s="6">
        <v>60000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37</v>
      </c>
      <c r="D962" s="6">
        <v>100000</v>
      </c>
      <c r="E962">
        <v>0</v>
      </c>
      <c r="F962" t="s">
        <v>19</v>
      </c>
      <c r="G962" t="s">
        <v>21</v>
      </c>
      <c r="H962" t="s">
        <v>18</v>
      </c>
      <c r="I962">
        <v>4</v>
      </c>
      <c r="J962" t="s">
        <v>26</v>
      </c>
      <c r="K962" t="s">
        <v>32</v>
      </c>
      <c r="L962">
        <v>45</v>
      </c>
      <c r="M962" t="str">
        <f t="shared" ref="M962:M1001" si="15">IF(L962&gt;=50,"Old",IF(L962&gt;=31,"Middle Age",IF(L962&lt;31,"Adolescent","Invalid")))</f>
        <v>Middle Age</v>
      </c>
      <c r="N962" t="s">
        <v>18</v>
      </c>
    </row>
    <row r="963" spans="1:14" x14ac:dyDescent="0.3">
      <c r="A963">
        <v>16651</v>
      </c>
      <c r="B963" t="s">
        <v>36</v>
      </c>
      <c r="C963" t="s">
        <v>38</v>
      </c>
      <c r="D963" s="6">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37</v>
      </c>
      <c r="D964" s="6">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6">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37</v>
      </c>
      <c r="D966" s="6">
        <v>70000</v>
      </c>
      <c r="E966">
        <v>4</v>
      </c>
      <c r="F966" t="s">
        <v>19</v>
      </c>
      <c r="G966" t="s">
        <v>21</v>
      </c>
      <c r="H966" t="s">
        <v>15</v>
      </c>
      <c r="I966">
        <v>1</v>
      </c>
      <c r="J966" t="s">
        <v>46</v>
      </c>
      <c r="K966" t="s">
        <v>32</v>
      </c>
      <c r="L966">
        <v>56</v>
      </c>
      <c r="M966" t="str">
        <f t="shared" si="15"/>
        <v>Old</v>
      </c>
      <c r="N966" t="s">
        <v>18</v>
      </c>
    </row>
    <row r="967" spans="1:14" x14ac:dyDescent="0.3">
      <c r="A967">
        <v>27756</v>
      </c>
      <c r="B967" t="s">
        <v>39</v>
      </c>
      <c r="C967" t="s">
        <v>38</v>
      </c>
      <c r="D967" s="6">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6">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37</v>
      </c>
      <c r="D969" s="6">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37</v>
      </c>
      <c r="D970" s="6">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37</v>
      </c>
      <c r="D971" s="6">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6">
        <v>60000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38</v>
      </c>
      <c r="D973" s="6">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6">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37</v>
      </c>
      <c r="D975" s="6">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37</v>
      </c>
      <c r="D976" s="6">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37</v>
      </c>
      <c r="D977" s="6">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6">
        <v>60000</v>
      </c>
      <c r="E978">
        <v>3</v>
      </c>
      <c r="F978" t="s">
        <v>13</v>
      </c>
      <c r="G978" t="s">
        <v>28</v>
      </c>
      <c r="H978" t="s">
        <v>15</v>
      </c>
      <c r="I978">
        <v>2</v>
      </c>
      <c r="J978" t="s">
        <v>46</v>
      </c>
      <c r="K978" t="s">
        <v>32</v>
      </c>
      <c r="L978">
        <v>66</v>
      </c>
      <c r="M978" t="str">
        <f t="shared" si="15"/>
        <v>Old</v>
      </c>
      <c r="N978" t="s">
        <v>18</v>
      </c>
    </row>
    <row r="979" spans="1:14" x14ac:dyDescent="0.3">
      <c r="A979">
        <v>19741</v>
      </c>
      <c r="B979" t="s">
        <v>39</v>
      </c>
      <c r="C979" t="s">
        <v>38</v>
      </c>
      <c r="D979" s="6">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37</v>
      </c>
      <c r="D980" s="6">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37</v>
      </c>
      <c r="D981" s="6">
        <v>40000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38</v>
      </c>
      <c r="D982" s="6">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37</v>
      </c>
      <c r="D983" s="6">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37</v>
      </c>
      <c r="D984" s="6">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37</v>
      </c>
      <c r="D985" s="6">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37</v>
      </c>
      <c r="D986" s="6">
        <v>60000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38</v>
      </c>
      <c r="D987" s="6">
        <v>50000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37</v>
      </c>
      <c r="D988" s="6">
        <v>40000</v>
      </c>
      <c r="E988">
        <v>5</v>
      </c>
      <c r="F988" t="s">
        <v>27</v>
      </c>
      <c r="G988" t="s">
        <v>21</v>
      </c>
      <c r="H988" t="s">
        <v>15</v>
      </c>
      <c r="I988">
        <v>4</v>
      </c>
      <c r="J988" t="s">
        <v>46</v>
      </c>
      <c r="K988" t="s">
        <v>32</v>
      </c>
      <c r="L988">
        <v>60</v>
      </c>
      <c r="M988" t="str">
        <f t="shared" si="15"/>
        <v>Old</v>
      </c>
      <c r="N988" t="s">
        <v>15</v>
      </c>
    </row>
    <row r="989" spans="1:14" x14ac:dyDescent="0.3">
      <c r="A989">
        <v>28972</v>
      </c>
      <c r="B989" t="s">
        <v>39</v>
      </c>
      <c r="C989" t="s">
        <v>38</v>
      </c>
      <c r="D989" s="6">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37</v>
      </c>
      <c r="D990" s="6">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37</v>
      </c>
      <c r="D991" s="6">
        <v>60000</v>
      </c>
      <c r="E991">
        <v>4</v>
      </c>
      <c r="F991" t="s">
        <v>13</v>
      </c>
      <c r="G991" t="s">
        <v>14</v>
      </c>
      <c r="H991" t="s">
        <v>18</v>
      </c>
      <c r="I991">
        <v>3</v>
      </c>
      <c r="J991" t="s">
        <v>46</v>
      </c>
      <c r="K991" t="s">
        <v>32</v>
      </c>
      <c r="L991">
        <v>42</v>
      </c>
      <c r="M991" t="str">
        <f t="shared" si="15"/>
        <v>Middle Age</v>
      </c>
      <c r="N991" t="s">
        <v>18</v>
      </c>
    </row>
    <row r="992" spans="1:14" x14ac:dyDescent="0.3">
      <c r="A992">
        <v>14332</v>
      </c>
      <c r="B992" t="s">
        <v>39</v>
      </c>
      <c r="C992" t="s">
        <v>38</v>
      </c>
      <c r="D992" s="6">
        <v>30000</v>
      </c>
      <c r="E992">
        <v>0</v>
      </c>
      <c r="F992" t="s">
        <v>27</v>
      </c>
      <c r="G992" t="s">
        <v>14</v>
      </c>
      <c r="H992" t="s">
        <v>18</v>
      </c>
      <c r="I992">
        <v>2</v>
      </c>
      <c r="J992" t="s">
        <v>23</v>
      </c>
      <c r="K992" t="s">
        <v>32</v>
      </c>
      <c r="L992">
        <v>26</v>
      </c>
      <c r="M992" t="str">
        <f t="shared" si="15"/>
        <v>Adolescent</v>
      </c>
      <c r="N992" t="s">
        <v>18</v>
      </c>
    </row>
    <row r="993" spans="1:14" x14ac:dyDescent="0.3">
      <c r="A993">
        <v>19117</v>
      </c>
      <c r="B993" t="s">
        <v>39</v>
      </c>
      <c r="C993" t="s">
        <v>38</v>
      </c>
      <c r="D993" s="6">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37</v>
      </c>
      <c r="D994" s="6">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37</v>
      </c>
      <c r="D995" s="6">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37</v>
      </c>
      <c r="D996" s="6">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37</v>
      </c>
      <c r="D997" s="6">
        <v>60000</v>
      </c>
      <c r="E997" s="2">
        <v>2</v>
      </c>
      <c r="F997" t="s">
        <v>27</v>
      </c>
      <c r="G997" t="s">
        <v>21</v>
      </c>
      <c r="H997" t="s">
        <v>15</v>
      </c>
      <c r="I997">
        <v>2</v>
      </c>
      <c r="J997" t="s">
        <v>22</v>
      </c>
      <c r="K997" t="s">
        <v>32</v>
      </c>
      <c r="L997">
        <v>54</v>
      </c>
      <c r="M997" t="str">
        <f t="shared" si="15"/>
        <v>Old</v>
      </c>
      <c r="N997" t="s">
        <v>15</v>
      </c>
    </row>
    <row r="998" spans="1:14" x14ac:dyDescent="0.3">
      <c r="A998">
        <v>28672</v>
      </c>
      <c r="B998" t="s">
        <v>39</v>
      </c>
      <c r="C998" t="s">
        <v>37</v>
      </c>
      <c r="D998" s="6">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37</v>
      </c>
      <c r="D999" s="6">
        <v>60000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37</v>
      </c>
      <c r="D1000" s="6">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37</v>
      </c>
      <c r="D1001" s="6">
        <v>60000</v>
      </c>
      <c r="E1001">
        <v>3</v>
      </c>
      <c r="F1001" t="s">
        <v>27</v>
      </c>
      <c r="G1001" t="s">
        <v>21</v>
      </c>
      <c r="H1001" t="s">
        <v>15</v>
      </c>
      <c r="I1001">
        <v>2</v>
      </c>
      <c r="J1001" t="s">
        <v>46</v>
      </c>
      <c r="K1001" t="s">
        <v>32</v>
      </c>
      <c r="L1001">
        <v>53</v>
      </c>
      <c r="M1001" t="str">
        <f t="shared" si="15"/>
        <v>Old</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65D4-79FB-4863-8207-C542084A6AF5}">
  <dimension ref="A3:D25"/>
  <sheetViews>
    <sheetView workbookViewId="0">
      <selection activeCell="E11" sqref="E11"/>
    </sheetView>
  </sheetViews>
  <sheetFormatPr defaultRowHeight="14.4" x14ac:dyDescent="0.3"/>
  <cols>
    <col min="1" max="1" width="21.88671875" bestFit="1" customWidth="1"/>
    <col min="2" max="2" width="15.5546875" bestFit="1" customWidth="1"/>
    <col min="3" max="3" width="10.77734375"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37</v>
      </c>
      <c r="B6" s="3">
        <v>56208.178438661707</v>
      </c>
      <c r="C6" s="3">
        <v>60123.966942148763</v>
      </c>
      <c r="D6" s="3">
        <v>58062.62230919765</v>
      </c>
    </row>
    <row r="7" spans="1:4" x14ac:dyDescent="0.3">
      <c r="A7" s="5" t="s">
        <v>42</v>
      </c>
      <c r="B7" s="3">
        <v>54874.759152215796</v>
      </c>
      <c r="C7" s="3">
        <v>57962.577962577961</v>
      </c>
      <c r="D7" s="3">
        <v>56360</v>
      </c>
    </row>
    <row r="11" spans="1:4" x14ac:dyDescent="0.3">
      <c r="A11" s="4" t="s">
        <v>45</v>
      </c>
      <c r="B11" s="4" t="s">
        <v>44</v>
      </c>
    </row>
    <row r="12" spans="1:4" x14ac:dyDescent="0.3">
      <c r="A12" s="4" t="s">
        <v>41</v>
      </c>
      <c r="B12" t="s">
        <v>18</v>
      </c>
      <c r="C12" t="s">
        <v>15</v>
      </c>
      <c r="D12" t="s">
        <v>42</v>
      </c>
    </row>
    <row r="13" spans="1:4" x14ac:dyDescent="0.3">
      <c r="A13" s="5" t="s">
        <v>16</v>
      </c>
      <c r="B13">
        <v>166</v>
      </c>
      <c r="C13">
        <v>200</v>
      </c>
      <c r="D13">
        <v>366</v>
      </c>
    </row>
    <row r="14" spans="1:4" x14ac:dyDescent="0.3">
      <c r="A14" s="5" t="s">
        <v>26</v>
      </c>
      <c r="B14">
        <v>92</v>
      </c>
      <c r="C14">
        <v>77</v>
      </c>
      <c r="D14">
        <v>169</v>
      </c>
    </row>
    <row r="15" spans="1:4" x14ac:dyDescent="0.3">
      <c r="A15" s="5" t="s">
        <v>22</v>
      </c>
      <c r="B15">
        <v>67</v>
      </c>
      <c r="C15">
        <v>95</v>
      </c>
      <c r="D15">
        <v>162</v>
      </c>
    </row>
    <row r="16" spans="1:4" x14ac:dyDescent="0.3">
      <c r="A16" s="5" t="s">
        <v>23</v>
      </c>
      <c r="B16">
        <v>116</v>
      </c>
      <c r="C16">
        <v>76</v>
      </c>
      <c r="D16">
        <v>192</v>
      </c>
    </row>
    <row r="17" spans="1:4" x14ac:dyDescent="0.3">
      <c r="A17" s="5" t="s">
        <v>46</v>
      </c>
      <c r="B17">
        <v>78</v>
      </c>
      <c r="C17">
        <v>33</v>
      </c>
      <c r="D17">
        <v>111</v>
      </c>
    </row>
    <row r="18" spans="1:4" x14ac:dyDescent="0.3">
      <c r="A18" s="5" t="s">
        <v>42</v>
      </c>
      <c r="B18">
        <v>519</v>
      </c>
      <c r="C18">
        <v>481</v>
      </c>
      <c r="D18">
        <v>1000</v>
      </c>
    </row>
    <row r="20" spans="1:4" x14ac:dyDescent="0.3">
      <c r="A20" s="4" t="s">
        <v>45</v>
      </c>
      <c r="B20" s="4" t="s">
        <v>44</v>
      </c>
    </row>
    <row r="21" spans="1:4" x14ac:dyDescent="0.3">
      <c r="A21" s="4" t="s">
        <v>41</v>
      </c>
      <c r="B21" t="s">
        <v>18</v>
      </c>
      <c r="C21" t="s">
        <v>15</v>
      </c>
      <c r="D21" t="s">
        <v>42</v>
      </c>
    </row>
    <row r="22" spans="1:4" x14ac:dyDescent="0.3">
      <c r="A22" s="5" t="s">
        <v>47</v>
      </c>
      <c r="B22">
        <v>71</v>
      </c>
      <c r="C22">
        <v>39</v>
      </c>
      <c r="D22">
        <v>110</v>
      </c>
    </row>
    <row r="23" spans="1:4" x14ac:dyDescent="0.3">
      <c r="A23" s="5" t="s">
        <v>48</v>
      </c>
      <c r="B23">
        <v>270</v>
      </c>
      <c r="C23">
        <v>320</v>
      </c>
      <c r="D23">
        <v>590</v>
      </c>
    </row>
    <row r="24" spans="1:4" x14ac:dyDescent="0.3">
      <c r="A24" s="5" t="s">
        <v>49</v>
      </c>
      <c r="B24">
        <v>178</v>
      </c>
      <c r="C24">
        <v>122</v>
      </c>
      <c r="D24">
        <v>300</v>
      </c>
    </row>
    <row r="25" spans="1:4" x14ac:dyDescent="0.3">
      <c r="A25" s="5" t="s">
        <v>42</v>
      </c>
      <c r="B25">
        <v>519</v>
      </c>
      <c r="C25">
        <v>481</v>
      </c>
      <c r="D25">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26E8-DB5A-48A3-805C-24F9F0C8C0FF}">
  <dimension ref="A1:R3"/>
  <sheetViews>
    <sheetView showGridLines="0" zoomScale="81" workbookViewId="0">
      <selection activeCell="L36" sqref="L36"/>
    </sheetView>
  </sheetViews>
  <sheetFormatPr defaultRowHeight="14.4" x14ac:dyDescent="0.3"/>
  <sheetData>
    <row r="1" spans="1:18" ht="14.4" customHeight="1" x14ac:dyDescent="0.3">
      <c r="A1" s="7" t="s">
        <v>50</v>
      </c>
      <c r="B1" s="8"/>
      <c r="C1" s="8"/>
      <c r="D1" s="8"/>
      <c r="E1" s="8"/>
      <c r="F1" s="8"/>
      <c r="G1" s="8"/>
      <c r="H1" s="8"/>
      <c r="I1" s="8"/>
      <c r="J1" s="8"/>
      <c r="K1" s="8"/>
      <c r="L1" s="8"/>
      <c r="M1" s="8"/>
      <c r="N1" s="8"/>
      <c r="O1" s="8"/>
      <c r="P1" s="8"/>
      <c r="Q1" s="8"/>
      <c r="R1" s="8"/>
    </row>
    <row r="2" spans="1:18" ht="14.4" customHeight="1" x14ac:dyDescent="0.3">
      <c r="A2" s="8"/>
      <c r="B2" s="8"/>
      <c r="C2" s="8"/>
      <c r="D2" s="8"/>
      <c r="E2" s="8"/>
      <c r="F2" s="8"/>
      <c r="G2" s="8"/>
      <c r="H2" s="8"/>
      <c r="I2" s="8"/>
      <c r="J2" s="8"/>
      <c r="K2" s="8"/>
      <c r="L2" s="8"/>
      <c r="M2" s="8"/>
      <c r="N2" s="8"/>
      <c r="O2" s="8"/>
      <c r="P2" s="8"/>
      <c r="Q2" s="8"/>
      <c r="R2" s="8"/>
    </row>
    <row r="3" spans="1:18" ht="14.4" customHeight="1" x14ac:dyDescent="0.3">
      <c r="A3" s="8"/>
      <c r="B3" s="8"/>
      <c r="C3" s="8"/>
      <c r="D3" s="8"/>
      <c r="E3" s="8"/>
      <c r="F3" s="8"/>
      <c r="G3" s="8"/>
      <c r="H3" s="8"/>
      <c r="I3" s="8"/>
      <c r="J3" s="8"/>
      <c r="K3" s="8"/>
      <c r="L3" s="8"/>
      <c r="M3" s="8"/>
      <c r="N3" s="8"/>
      <c r="O3" s="8"/>
      <c r="P3" s="8"/>
      <c r="Q3" s="8"/>
      <c r="R3" s="8"/>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Angela Happy</cp:lastModifiedBy>
  <dcterms:created xsi:type="dcterms:W3CDTF">2022-03-18T02:50:57Z</dcterms:created>
  <dcterms:modified xsi:type="dcterms:W3CDTF">2025-11-21T12:03:12Z</dcterms:modified>
</cp:coreProperties>
</file>