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202300"/>
  <mc:AlternateContent xmlns:mc="http://schemas.openxmlformats.org/markup-compatibility/2006">
    <mc:Choice Requires="x15">
      <x15ac:absPath xmlns:x15ac="http://schemas.microsoft.com/office/spreadsheetml/2010/11/ac" url="https://d.docs.live.net/8d2acbed51b2ae57/Documents/Excel Projects/"/>
    </mc:Choice>
  </mc:AlternateContent>
  <xr:revisionPtr revIDLastSave="733" documentId="8_{50D1B42A-A00B-4E6F-8B54-6DDC518ECA46}" xr6:coauthVersionLast="47" xr6:coauthVersionMax="47" xr10:uidLastSave="{4E71CB23-3B53-4185-B792-058736AE61CB}"/>
  <bookViews>
    <workbookView xWindow="-108" yWindow="-108" windowWidth="23256" windowHeight="12456" firstSheet="1" activeTab="3" xr2:uid="{02521697-076D-4052-B8D8-4873D254AC8A}"/>
  </bookViews>
  <sheets>
    <sheet name="Students Social Media Addiction" sheetId="2" r:id="rId1"/>
    <sheet name="Working Sheet" sheetId="3" r:id="rId2"/>
    <sheet name="Pivot Table" sheetId="1" r:id="rId3"/>
    <sheet name="Dashboard" sheetId="4" r:id="rId4"/>
  </sheets>
  <definedNames>
    <definedName name="ExternalData_1" localSheetId="0" hidden="1">'Students Social Media Addiction'!$A$1:$M$706</definedName>
    <definedName name="ExternalData_1" localSheetId="1" hidden="1">'Working Sheet'!$A$1:$Q$705</definedName>
    <definedName name="Slicer_Academic_Level">#N/A</definedName>
    <definedName name="Slicer_Age_Group">#N/A</definedName>
    <definedName name="Slicer_Country">#N/A</definedName>
    <definedName name="Slicer_Gender">#N/A</definedName>
    <definedName name="Slicer_Relationship_Status">#N/A</definedName>
  </definedNames>
  <calcPr calcId="191029"/>
  <pivotCaches>
    <pivotCache cacheId="21" r:id="rId5"/>
  </pivotCaches>
  <extLst>
    <ext xmlns:x14="http://schemas.microsoft.com/office/spreadsheetml/2009/9/main" uri="{BBE1A952-AA13-448e-AADC-164F8A28A991}">
      <x14:slicerCaches>
        <x14:slicerCache r:id="rId6"/>
        <x14:slicerCache r:id="rId7"/>
        <x14:slicerCache r:id="rId8"/>
        <x14:slicerCache r:id="rId9"/>
        <x14:slicerCache r:id="rId10"/>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Q699" i="3" l="1"/>
  <c r="Q698" i="3"/>
  <c r="Q696" i="3"/>
  <c r="Q693" i="3"/>
  <c r="Q690" i="3"/>
  <c r="Q682" i="3"/>
  <c r="Q681" i="3"/>
  <c r="Q679" i="3"/>
  <c r="Q676" i="3"/>
  <c r="Q673" i="3"/>
  <c r="Q665" i="3"/>
  <c r="Q664" i="3"/>
  <c r="Q662" i="3"/>
  <c r="Q659" i="3"/>
  <c r="Q656" i="3"/>
  <c r="Q648" i="3"/>
  <c r="Q647" i="3"/>
  <c r="Q645" i="3"/>
  <c r="Q642" i="3"/>
  <c r="Q639" i="3"/>
  <c r="Q631" i="3"/>
  <c r="Q630" i="3"/>
  <c r="Q628" i="3"/>
  <c r="Q625" i="3"/>
  <c r="Q622" i="3"/>
  <c r="Q614" i="3"/>
  <c r="Q613" i="3"/>
  <c r="Q611" i="3"/>
  <c r="Q608" i="3"/>
  <c r="Q605" i="3"/>
  <c r="Q597" i="3"/>
  <c r="Q596" i="3"/>
  <c r="Q594" i="3"/>
  <c r="Q591" i="3"/>
  <c r="Q588" i="3"/>
  <c r="Q580" i="3"/>
  <c r="Q579" i="3"/>
  <c r="Q577" i="3"/>
  <c r="Q574" i="3"/>
  <c r="Q571" i="3"/>
  <c r="Q570" i="3"/>
  <c r="Q569" i="3"/>
  <c r="Q560" i="3"/>
  <c r="Q559" i="3"/>
  <c r="Q550" i="3"/>
  <c r="Q549" i="3"/>
  <c r="Q540" i="3"/>
  <c r="Q539" i="3"/>
  <c r="Q530" i="3"/>
  <c r="Q529" i="3"/>
  <c r="Q520" i="3"/>
  <c r="Q519" i="3"/>
  <c r="Q510" i="3"/>
  <c r="Q509" i="3"/>
  <c r="Q500" i="3"/>
  <c r="Q499" i="3"/>
  <c r="Q497" i="3"/>
  <c r="Q494" i="3"/>
  <c r="Q491" i="3"/>
  <c r="Q490" i="3"/>
  <c r="Q489" i="3"/>
  <c r="Q487" i="3"/>
  <c r="Q484" i="3"/>
  <c r="Q481" i="3"/>
  <c r="Q480" i="3"/>
  <c r="Q479" i="3"/>
  <c r="Q477" i="3"/>
  <c r="Q474" i="3"/>
  <c r="Q471" i="3"/>
  <c r="Q470" i="3"/>
  <c r="Q469" i="3"/>
  <c r="Q467" i="3"/>
  <c r="Q464" i="3"/>
  <c r="Q461" i="3"/>
  <c r="Q460" i="3"/>
  <c r="Q459" i="3"/>
  <c r="Q457" i="3"/>
  <c r="Q454" i="3"/>
  <c r="Q451" i="3"/>
  <c r="Q450" i="3"/>
  <c r="Q449" i="3"/>
  <c r="Q447" i="3"/>
  <c r="Q444" i="3"/>
  <c r="Q441" i="3"/>
  <c r="Q440" i="3"/>
  <c r="Q439" i="3"/>
  <c r="Q437" i="3"/>
  <c r="Q434" i="3"/>
  <c r="Q431" i="3"/>
  <c r="Q430" i="3"/>
  <c r="Q429" i="3"/>
  <c r="Q427" i="3"/>
  <c r="Q424" i="3"/>
  <c r="Q421" i="3"/>
  <c r="Q420" i="3"/>
  <c r="Q419" i="3"/>
  <c r="Q417" i="3"/>
  <c r="Q414" i="3"/>
  <c r="Q411" i="3"/>
  <c r="Q410" i="3"/>
  <c r="Q409" i="3"/>
  <c r="Q407" i="3"/>
  <c r="Q404" i="3"/>
  <c r="Q401" i="3"/>
  <c r="Q400" i="3"/>
  <c r="Q399" i="3"/>
  <c r="Q397" i="3"/>
  <c r="Q394" i="3"/>
  <c r="Q391" i="3"/>
  <c r="Q390" i="3"/>
  <c r="Q389" i="3"/>
  <c r="Q387" i="3"/>
  <c r="Q384" i="3"/>
  <c r="Q381" i="3"/>
  <c r="Q380" i="3"/>
  <c r="Q379" i="3"/>
  <c r="Q377" i="3"/>
  <c r="Q374" i="3"/>
  <c r="Q371" i="3"/>
  <c r="Q370" i="3"/>
  <c r="Q369" i="3"/>
  <c r="Q367" i="3"/>
  <c r="Q364" i="3"/>
  <c r="Q361" i="3"/>
  <c r="Q360" i="3"/>
  <c r="Q359" i="3"/>
  <c r="Q357" i="3"/>
  <c r="Q354" i="3"/>
  <c r="Q351" i="3"/>
  <c r="Q350" i="3"/>
  <c r="Q349" i="3"/>
  <c r="Q347" i="3"/>
  <c r="Q344" i="3"/>
  <c r="Q341" i="3"/>
  <c r="Q340" i="3"/>
  <c r="Q339" i="3"/>
  <c r="Q337" i="3"/>
  <c r="Q334" i="3"/>
  <c r="Q331" i="3"/>
  <c r="Q330" i="3"/>
  <c r="Q329" i="3"/>
  <c r="Q327" i="3"/>
  <c r="Q324" i="3"/>
  <c r="Q321" i="3"/>
  <c r="Q317" i="3"/>
  <c r="Q309" i="3"/>
  <c r="Q301" i="3"/>
  <c r="Q293" i="3"/>
  <c r="Q285" i="3"/>
  <c r="Q277" i="3"/>
  <c r="Q269" i="3"/>
  <c r="Q261" i="3"/>
  <c r="Q253" i="3"/>
  <c r="Q245" i="3"/>
  <c r="Q237" i="3"/>
  <c r="Q229" i="3"/>
  <c r="Q221" i="3"/>
  <c r="Q216" i="3"/>
  <c r="Q210" i="3"/>
  <c r="Q204" i="3"/>
  <c r="Q198" i="3"/>
  <c r="Q192" i="3"/>
  <c r="Q186" i="3"/>
  <c r="Q180" i="3"/>
  <c r="Q174" i="3"/>
  <c r="Q168" i="3"/>
  <c r="Q162" i="3"/>
  <c r="Q160" i="3"/>
  <c r="Q154" i="3"/>
  <c r="Q148" i="3"/>
  <c r="Q142" i="3"/>
  <c r="Q136" i="3"/>
  <c r="Q130" i="3"/>
  <c r="Q124" i="3"/>
  <c r="Q118" i="3"/>
  <c r="Q112" i="3"/>
  <c r="Q12" i="3"/>
  <c r="Q5" i="3"/>
  <c r="L2" i="3"/>
  <c r="L3" i="3"/>
  <c r="L4" i="3"/>
  <c r="L5" i="3"/>
  <c r="L6" i="3"/>
  <c r="L7" i="3"/>
  <c r="L8" i="3"/>
  <c r="L9" i="3"/>
  <c r="L10" i="3"/>
  <c r="L11" i="3"/>
  <c r="L12" i="3"/>
  <c r="L13" i="3"/>
  <c r="L14" i="3"/>
  <c r="L15" i="3"/>
  <c r="L16" i="3"/>
  <c r="L17" i="3"/>
  <c r="L18" i="3"/>
  <c r="L19" i="3"/>
  <c r="L20" i="3"/>
  <c r="L21" i="3"/>
  <c r="L22" i="3"/>
  <c r="L23" i="3"/>
  <c r="L24" i="3"/>
  <c r="L25" i="3"/>
  <c r="L26" i="3"/>
  <c r="L27" i="3"/>
  <c r="L28" i="3"/>
  <c r="L29" i="3"/>
  <c r="L30" i="3"/>
  <c r="L31" i="3"/>
  <c r="L32" i="3"/>
  <c r="L33" i="3"/>
  <c r="L34" i="3"/>
  <c r="L35" i="3"/>
  <c r="L36" i="3"/>
  <c r="L37" i="3"/>
  <c r="L38" i="3"/>
  <c r="L39" i="3"/>
  <c r="L40" i="3"/>
  <c r="L41" i="3"/>
  <c r="L42" i="3"/>
  <c r="L43" i="3"/>
  <c r="L44" i="3"/>
  <c r="L45" i="3"/>
  <c r="L46" i="3"/>
  <c r="L47" i="3"/>
  <c r="L48" i="3"/>
  <c r="L49" i="3"/>
  <c r="L50" i="3"/>
  <c r="L51" i="3"/>
  <c r="L52" i="3"/>
  <c r="L53" i="3"/>
  <c r="L54" i="3"/>
  <c r="L55" i="3"/>
  <c r="L56" i="3"/>
  <c r="L57" i="3"/>
  <c r="L58" i="3"/>
  <c r="L59" i="3"/>
  <c r="L60" i="3"/>
  <c r="L61" i="3"/>
  <c r="L62" i="3"/>
  <c r="L63" i="3"/>
  <c r="L64" i="3"/>
  <c r="L65" i="3"/>
  <c r="L66" i="3"/>
  <c r="L67" i="3"/>
  <c r="L68" i="3"/>
  <c r="L69" i="3"/>
  <c r="L70" i="3"/>
  <c r="L71" i="3"/>
  <c r="L72" i="3"/>
  <c r="L73" i="3"/>
  <c r="L74" i="3"/>
  <c r="L75" i="3"/>
  <c r="L76" i="3"/>
  <c r="L77" i="3"/>
  <c r="L78" i="3"/>
  <c r="L79" i="3"/>
  <c r="L80" i="3"/>
  <c r="L81" i="3"/>
  <c r="L82" i="3"/>
  <c r="L83" i="3"/>
  <c r="L84" i="3"/>
  <c r="L85" i="3"/>
  <c r="L86" i="3"/>
  <c r="L87" i="3"/>
  <c r="L88" i="3"/>
  <c r="L89" i="3"/>
  <c r="L90" i="3"/>
  <c r="L91" i="3"/>
  <c r="L92" i="3"/>
  <c r="L93" i="3"/>
  <c r="L94" i="3"/>
  <c r="L95" i="3"/>
  <c r="L96" i="3"/>
  <c r="L97" i="3"/>
  <c r="L98" i="3"/>
  <c r="L99" i="3"/>
  <c r="L100" i="3"/>
  <c r="L101" i="3"/>
  <c r="L102" i="3"/>
  <c r="L103" i="3"/>
  <c r="L104" i="3"/>
  <c r="L105" i="3"/>
  <c r="L106" i="3"/>
  <c r="L107" i="3"/>
  <c r="L108" i="3"/>
  <c r="L109" i="3"/>
  <c r="L110" i="3"/>
  <c r="L111" i="3"/>
  <c r="L112" i="3"/>
  <c r="L113" i="3"/>
  <c r="L114" i="3"/>
  <c r="L115" i="3"/>
  <c r="L116" i="3"/>
  <c r="L117" i="3"/>
  <c r="L118" i="3"/>
  <c r="L119" i="3"/>
  <c r="L120" i="3"/>
  <c r="L121" i="3"/>
  <c r="L122" i="3"/>
  <c r="L123" i="3"/>
  <c r="L124" i="3"/>
  <c r="L125" i="3"/>
  <c r="L126" i="3"/>
  <c r="L127" i="3"/>
  <c r="L128" i="3"/>
  <c r="L129" i="3"/>
  <c r="L130" i="3"/>
  <c r="L131" i="3"/>
  <c r="L132" i="3"/>
  <c r="L133" i="3"/>
  <c r="L134" i="3"/>
  <c r="L135" i="3"/>
  <c r="L136" i="3"/>
  <c r="L137" i="3"/>
  <c r="L138" i="3"/>
  <c r="L139" i="3"/>
  <c r="L140" i="3"/>
  <c r="L141" i="3"/>
  <c r="L142" i="3"/>
  <c r="L143" i="3"/>
  <c r="L144" i="3"/>
  <c r="L145" i="3"/>
  <c r="L146" i="3"/>
  <c r="L147" i="3"/>
  <c r="L148" i="3"/>
  <c r="L149" i="3"/>
  <c r="L150" i="3"/>
  <c r="L151" i="3"/>
  <c r="L152" i="3"/>
  <c r="L153" i="3"/>
  <c r="L154" i="3"/>
  <c r="L155" i="3"/>
  <c r="L156" i="3"/>
  <c r="L157" i="3"/>
  <c r="L158" i="3"/>
  <c r="L159" i="3"/>
  <c r="L160" i="3"/>
  <c r="L161" i="3"/>
  <c r="L162" i="3"/>
  <c r="L163" i="3"/>
  <c r="L164" i="3"/>
  <c r="L165" i="3"/>
  <c r="L166" i="3"/>
  <c r="L167" i="3"/>
  <c r="L168" i="3"/>
  <c r="L169" i="3"/>
  <c r="L170" i="3"/>
  <c r="L171" i="3"/>
  <c r="L172" i="3"/>
  <c r="L173" i="3"/>
  <c r="L174" i="3"/>
  <c r="L175" i="3"/>
  <c r="L176" i="3"/>
  <c r="L177" i="3"/>
  <c r="L178" i="3"/>
  <c r="L179" i="3"/>
  <c r="L180" i="3"/>
  <c r="L181" i="3"/>
  <c r="L182" i="3"/>
  <c r="L183" i="3"/>
  <c r="L184" i="3"/>
  <c r="L185" i="3"/>
  <c r="L186" i="3"/>
  <c r="L187" i="3"/>
  <c r="L188" i="3"/>
  <c r="L189" i="3"/>
  <c r="L190" i="3"/>
  <c r="L191" i="3"/>
  <c r="L192" i="3"/>
  <c r="L193" i="3"/>
  <c r="L194" i="3"/>
  <c r="L195" i="3"/>
  <c r="L196" i="3"/>
  <c r="L197" i="3"/>
  <c r="L198" i="3"/>
  <c r="L199" i="3"/>
  <c r="L200" i="3"/>
  <c r="L201" i="3"/>
  <c r="L202" i="3"/>
  <c r="L203" i="3"/>
  <c r="L204" i="3"/>
  <c r="L205" i="3"/>
  <c r="L206" i="3"/>
  <c r="L207" i="3"/>
  <c r="L208" i="3"/>
  <c r="L209" i="3"/>
  <c r="L210" i="3"/>
  <c r="L211" i="3"/>
  <c r="L212" i="3"/>
  <c r="L213" i="3"/>
  <c r="L214" i="3"/>
  <c r="L215" i="3"/>
  <c r="L216" i="3"/>
  <c r="L217" i="3"/>
  <c r="L218" i="3"/>
  <c r="L219" i="3"/>
  <c r="L220" i="3"/>
  <c r="L221" i="3"/>
  <c r="L222" i="3"/>
  <c r="L223" i="3"/>
  <c r="L224" i="3"/>
  <c r="L225" i="3"/>
  <c r="L226" i="3"/>
  <c r="L227" i="3"/>
  <c r="L228" i="3"/>
  <c r="L229" i="3"/>
  <c r="L230" i="3"/>
  <c r="L231" i="3"/>
  <c r="L232" i="3"/>
  <c r="L233" i="3"/>
  <c r="L234" i="3"/>
  <c r="L235" i="3"/>
  <c r="L236" i="3"/>
  <c r="L237" i="3"/>
  <c r="L238" i="3"/>
  <c r="L239" i="3"/>
  <c r="L240" i="3"/>
  <c r="L241" i="3"/>
  <c r="L242" i="3"/>
  <c r="L243" i="3"/>
  <c r="L244" i="3"/>
  <c r="L245" i="3"/>
  <c r="L246" i="3"/>
  <c r="L247" i="3"/>
  <c r="L248" i="3"/>
  <c r="L249" i="3"/>
  <c r="L250" i="3"/>
  <c r="L251" i="3"/>
  <c r="L252" i="3"/>
  <c r="L253" i="3"/>
  <c r="L254" i="3"/>
  <c r="L255" i="3"/>
  <c r="L256" i="3"/>
  <c r="L257" i="3"/>
  <c r="L258" i="3"/>
  <c r="L259" i="3"/>
  <c r="L260" i="3"/>
  <c r="L261" i="3"/>
  <c r="L262" i="3"/>
  <c r="L263" i="3"/>
  <c r="L264" i="3"/>
  <c r="L265" i="3"/>
  <c r="L266" i="3"/>
  <c r="L267" i="3"/>
  <c r="L268" i="3"/>
  <c r="L269" i="3"/>
  <c r="L270" i="3"/>
  <c r="L271" i="3"/>
  <c r="L272" i="3"/>
  <c r="L273" i="3"/>
  <c r="L274" i="3"/>
  <c r="L275" i="3"/>
  <c r="L276" i="3"/>
  <c r="L277" i="3"/>
  <c r="L278" i="3"/>
  <c r="L279" i="3"/>
  <c r="L280" i="3"/>
  <c r="L281" i="3"/>
  <c r="L282" i="3"/>
  <c r="L283" i="3"/>
  <c r="L284" i="3"/>
  <c r="L285" i="3"/>
  <c r="L286" i="3"/>
  <c r="L287" i="3"/>
  <c r="L288" i="3"/>
  <c r="L289" i="3"/>
  <c r="L290" i="3"/>
  <c r="L291" i="3"/>
  <c r="L292" i="3"/>
  <c r="L293" i="3"/>
  <c r="L294" i="3"/>
  <c r="L295" i="3"/>
  <c r="L296" i="3"/>
  <c r="L297" i="3"/>
  <c r="L298" i="3"/>
  <c r="L299" i="3"/>
  <c r="L300" i="3"/>
  <c r="L301" i="3"/>
  <c r="L302" i="3"/>
  <c r="L303" i="3"/>
  <c r="L304" i="3"/>
  <c r="L305" i="3"/>
  <c r="L306" i="3"/>
  <c r="L307" i="3"/>
  <c r="L308" i="3"/>
  <c r="L309" i="3"/>
  <c r="L310" i="3"/>
  <c r="L311" i="3"/>
  <c r="L312" i="3"/>
  <c r="L313" i="3"/>
  <c r="L314" i="3"/>
  <c r="L315" i="3"/>
  <c r="L316" i="3"/>
  <c r="L317" i="3"/>
  <c r="L318" i="3"/>
  <c r="L319" i="3"/>
  <c r="L320" i="3"/>
  <c r="L321" i="3"/>
  <c r="L322" i="3"/>
  <c r="L323" i="3"/>
  <c r="L324" i="3"/>
  <c r="L325" i="3"/>
  <c r="L326" i="3"/>
  <c r="L327" i="3"/>
  <c r="L328" i="3"/>
  <c r="L329" i="3"/>
  <c r="L330" i="3"/>
  <c r="L331" i="3"/>
  <c r="L332" i="3"/>
  <c r="L333" i="3"/>
  <c r="L334" i="3"/>
  <c r="L335" i="3"/>
  <c r="L336" i="3"/>
  <c r="L337" i="3"/>
  <c r="L338" i="3"/>
  <c r="L339" i="3"/>
  <c r="L340" i="3"/>
  <c r="L341" i="3"/>
  <c r="L342" i="3"/>
  <c r="L343" i="3"/>
  <c r="L344" i="3"/>
  <c r="L345" i="3"/>
  <c r="L346" i="3"/>
  <c r="L347" i="3"/>
  <c r="L348" i="3"/>
  <c r="L349" i="3"/>
  <c r="L350" i="3"/>
  <c r="L351" i="3"/>
  <c r="L352" i="3"/>
  <c r="L353" i="3"/>
  <c r="L354" i="3"/>
  <c r="L355" i="3"/>
  <c r="L356" i="3"/>
  <c r="L357" i="3"/>
  <c r="L358" i="3"/>
  <c r="L359" i="3"/>
  <c r="L360" i="3"/>
  <c r="L361" i="3"/>
  <c r="L362" i="3"/>
  <c r="L363" i="3"/>
  <c r="L364" i="3"/>
  <c r="L365" i="3"/>
  <c r="L366" i="3"/>
  <c r="L367" i="3"/>
  <c r="L368" i="3"/>
  <c r="L369" i="3"/>
  <c r="L370" i="3"/>
  <c r="L371" i="3"/>
  <c r="L372" i="3"/>
  <c r="L373" i="3"/>
  <c r="L374" i="3"/>
  <c r="L375" i="3"/>
  <c r="L376" i="3"/>
  <c r="L377" i="3"/>
  <c r="L378" i="3"/>
  <c r="L379" i="3"/>
  <c r="L380" i="3"/>
  <c r="L381" i="3"/>
  <c r="L382" i="3"/>
  <c r="L383" i="3"/>
  <c r="L384" i="3"/>
  <c r="L385" i="3"/>
  <c r="L386" i="3"/>
  <c r="L387" i="3"/>
  <c r="L388" i="3"/>
  <c r="L389" i="3"/>
  <c r="L390" i="3"/>
  <c r="L391" i="3"/>
  <c r="L392" i="3"/>
  <c r="L393" i="3"/>
  <c r="L394" i="3"/>
  <c r="L395" i="3"/>
  <c r="L396" i="3"/>
  <c r="L397" i="3"/>
  <c r="L398" i="3"/>
  <c r="L399" i="3"/>
  <c r="L400" i="3"/>
  <c r="L401" i="3"/>
  <c r="L402" i="3"/>
  <c r="L403" i="3"/>
  <c r="L404" i="3"/>
  <c r="L405" i="3"/>
  <c r="L406" i="3"/>
  <c r="L407" i="3"/>
  <c r="L408" i="3"/>
  <c r="L409" i="3"/>
  <c r="L410" i="3"/>
  <c r="L411" i="3"/>
  <c r="L412" i="3"/>
  <c r="L413" i="3"/>
  <c r="L414" i="3"/>
  <c r="L415" i="3"/>
  <c r="L416" i="3"/>
  <c r="L417" i="3"/>
  <c r="L418" i="3"/>
  <c r="L419" i="3"/>
  <c r="L420" i="3"/>
  <c r="L421" i="3"/>
  <c r="L422" i="3"/>
  <c r="L423" i="3"/>
  <c r="L424" i="3"/>
  <c r="L425" i="3"/>
  <c r="L426" i="3"/>
  <c r="L427" i="3"/>
  <c r="L428" i="3"/>
  <c r="L429" i="3"/>
  <c r="L430" i="3"/>
  <c r="L431" i="3"/>
  <c r="L432" i="3"/>
  <c r="L433" i="3"/>
  <c r="L434" i="3"/>
  <c r="L435" i="3"/>
  <c r="L436" i="3"/>
  <c r="L437" i="3"/>
  <c r="L438" i="3"/>
  <c r="L439" i="3"/>
  <c r="L440" i="3"/>
  <c r="L441" i="3"/>
  <c r="L442" i="3"/>
  <c r="L443" i="3"/>
  <c r="L444" i="3"/>
  <c r="L445" i="3"/>
  <c r="L446" i="3"/>
  <c r="L447" i="3"/>
  <c r="L448" i="3"/>
  <c r="L449" i="3"/>
  <c r="L450" i="3"/>
  <c r="L451" i="3"/>
  <c r="L452" i="3"/>
  <c r="L453" i="3"/>
  <c r="L454" i="3"/>
  <c r="L455" i="3"/>
  <c r="L456" i="3"/>
  <c r="L457" i="3"/>
  <c r="L458" i="3"/>
  <c r="L459" i="3"/>
  <c r="L460" i="3"/>
  <c r="L461" i="3"/>
  <c r="L462" i="3"/>
  <c r="L463" i="3"/>
  <c r="L464" i="3"/>
  <c r="L465" i="3"/>
  <c r="L466" i="3"/>
  <c r="L467" i="3"/>
  <c r="L468" i="3"/>
  <c r="L469" i="3"/>
  <c r="L470" i="3"/>
  <c r="L471" i="3"/>
  <c r="L472" i="3"/>
  <c r="L473" i="3"/>
  <c r="L474" i="3"/>
  <c r="L475" i="3"/>
  <c r="L476" i="3"/>
  <c r="L477" i="3"/>
  <c r="L478" i="3"/>
  <c r="L479" i="3"/>
  <c r="L480" i="3"/>
  <c r="L481" i="3"/>
  <c r="L482" i="3"/>
  <c r="L483" i="3"/>
  <c r="L484" i="3"/>
  <c r="L485" i="3"/>
  <c r="L486" i="3"/>
  <c r="L487" i="3"/>
  <c r="L488" i="3"/>
  <c r="L489" i="3"/>
  <c r="L490" i="3"/>
  <c r="L491" i="3"/>
  <c r="L492" i="3"/>
  <c r="L493" i="3"/>
  <c r="L494" i="3"/>
  <c r="L495" i="3"/>
  <c r="L496" i="3"/>
  <c r="L497" i="3"/>
  <c r="L498" i="3"/>
  <c r="L499" i="3"/>
  <c r="L500" i="3"/>
  <c r="L501" i="3"/>
  <c r="L502" i="3"/>
  <c r="L503" i="3"/>
  <c r="L504" i="3"/>
  <c r="L505" i="3"/>
  <c r="L506" i="3"/>
  <c r="L507" i="3"/>
  <c r="L508" i="3"/>
  <c r="L509" i="3"/>
  <c r="L510" i="3"/>
  <c r="L511" i="3"/>
  <c r="L512" i="3"/>
  <c r="L513" i="3"/>
  <c r="L514" i="3"/>
  <c r="L515" i="3"/>
  <c r="L516" i="3"/>
  <c r="L517" i="3"/>
  <c r="L518" i="3"/>
  <c r="L519" i="3"/>
  <c r="L520" i="3"/>
  <c r="L521" i="3"/>
  <c r="L522" i="3"/>
  <c r="L523" i="3"/>
  <c r="L524" i="3"/>
  <c r="L525" i="3"/>
  <c r="L526" i="3"/>
  <c r="L527" i="3"/>
  <c r="L528" i="3"/>
  <c r="L529" i="3"/>
  <c r="L530" i="3"/>
  <c r="L531" i="3"/>
  <c r="L532" i="3"/>
  <c r="L533" i="3"/>
  <c r="L534" i="3"/>
  <c r="L535" i="3"/>
  <c r="L536" i="3"/>
  <c r="L537" i="3"/>
  <c r="L538" i="3"/>
  <c r="L539" i="3"/>
  <c r="L540" i="3"/>
  <c r="L541" i="3"/>
  <c r="L542" i="3"/>
  <c r="L543" i="3"/>
  <c r="L544" i="3"/>
  <c r="L545" i="3"/>
  <c r="L546" i="3"/>
  <c r="L547" i="3"/>
  <c r="L548" i="3"/>
  <c r="L549" i="3"/>
  <c r="L550" i="3"/>
  <c r="L551" i="3"/>
  <c r="L552" i="3"/>
  <c r="L553" i="3"/>
  <c r="L554" i="3"/>
  <c r="L555" i="3"/>
  <c r="L556" i="3"/>
  <c r="L557" i="3"/>
  <c r="L558" i="3"/>
  <c r="L559" i="3"/>
  <c r="L560" i="3"/>
  <c r="L561" i="3"/>
  <c r="L562" i="3"/>
  <c r="L563" i="3"/>
  <c r="L564" i="3"/>
  <c r="L565" i="3"/>
  <c r="L566" i="3"/>
  <c r="L567" i="3"/>
  <c r="L568" i="3"/>
  <c r="L569" i="3"/>
  <c r="L570" i="3"/>
  <c r="L571" i="3"/>
  <c r="L572" i="3"/>
  <c r="L573" i="3"/>
  <c r="L574" i="3"/>
  <c r="L575" i="3"/>
  <c r="L576" i="3"/>
  <c r="L577" i="3"/>
  <c r="L578" i="3"/>
  <c r="L579" i="3"/>
  <c r="L580" i="3"/>
  <c r="L581" i="3"/>
  <c r="L582" i="3"/>
  <c r="L583" i="3"/>
  <c r="L584" i="3"/>
  <c r="L585" i="3"/>
  <c r="L586" i="3"/>
  <c r="L587" i="3"/>
  <c r="L588" i="3"/>
  <c r="L589" i="3"/>
  <c r="L590" i="3"/>
  <c r="L591" i="3"/>
  <c r="L592" i="3"/>
  <c r="L593" i="3"/>
  <c r="L594" i="3"/>
  <c r="L595" i="3"/>
  <c r="L596" i="3"/>
  <c r="L597" i="3"/>
  <c r="L598" i="3"/>
  <c r="L599" i="3"/>
  <c r="L600" i="3"/>
  <c r="L601" i="3"/>
  <c r="L602" i="3"/>
  <c r="L603" i="3"/>
  <c r="L604" i="3"/>
  <c r="L605" i="3"/>
  <c r="L606" i="3"/>
  <c r="L607" i="3"/>
  <c r="L608" i="3"/>
  <c r="L609" i="3"/>
  <c r="L610" i="3"/>
  <c r="L611" i="3"/>
  <c r="L612" i="3"/>
  <c r="L613" i="3"/>
  <c r="L614" i="3"/>
  <c r="L615" i="3"/>
  <c r="L616" i="3"/>
  <c r="L617" i="3"/>
  <c r="L618" i="3"/>
  <c r="L619" i="3"/>
  <c r="L620" i="3"/>
  <c r="L621" i="3"/>
  <c r="L622" i="3"/>
  <c r="L623" i="3"/>
  <c r="L624" i="3"/>
  <c r="L625" i="3"/>
  <c r="L626" i="3"/>
  <c r="L627" i="3"/>
  <c r="L628" i="3"/>
  <c r="L629" i="3"/>
  <c r="L630" i="3"/>
  <c r="L631" i="3"/>
  <c r="L632" i="3"/>
  <c r="L633" i="3"/>
  <c r="L634" i="3"/>
  <c r="L635" i="3"/>
  <c r="L636" i="3"/>
  <c r="L637" i="3"/>
  <c r="L638" i="3"/>
  <c r="L639" i="3"/>
  <c r="L640" i="3"/>
  <c r="L641" i="3"/>
  <c r="L642" i="3"/>
  <c r="L643" i="3"/>
  <c r="L644" i="3"/>
  <c r="L645" i="3"/>
  <c r="L646" i="3"/>
  <c r="L647" i="3"/>
  <c r="L648" i="3"/>
  <c r="L649" i="3"/>
  <c r="L650" i="3"/>
  <c r="L651" i="3"/>
  <c r="L652" i="3"/>
  <c r="L653" i="3"/>
  <c r="L654" i="3"/>
  <c r="L655" i="3"/>
  <c r="L656" i="3"/>
  <c r="L657" i="3"/>
  <c r="L658" i="3"/>
  <c r="L659" i="3"/>
  <c r="L660" i="3"/>
  <c r="L661" i="3"/>
  <c r="L662" i="3"/>
  <c r="L663" i="3"/>
  <c r="L664" i="3"/>
  <c r="L665" i="3"/>
  <c r="L666" i="3"/>
  <c r="L667" i="3"/>
  <c r="L668" i="3"/>
  <c r="L669" i="3"/>
  <c r="L670" i="3"/>
  <c r="L671" i="3"/>
  <c r="L672" i="3"/>
  <c r="L673" i="3"/>
  <c r="L674" i="3"/>
  <c r="L675" i="3"/>
  <c r="L676" i="3"/>
  <c r="L677" i="3"/>
  <c r="L678" i="3"/>
  <c r="L679" i="3"/>
  <c r="L680" i="3"/>
  <c r="L681" i="3"/>
  <c r="L682" i="3"/>
  <c r="L683" i="3"/>
  <c r="L684" i="3"/>
  <c r="L685" i="3"/>
  <c r="L686" i="3"/>
  <c r="L687" i="3"/>
  <c r="L688" i="3"/>
  <c r="L689" i="3"/>
  <c r="L690" i="3"/>
  <c r="L691" i="3"/>
  <c r="L692" i="3"/>
  <c r="L693" i="3"/>
  <c r="L694" i="3"/>
  <c r="L695" i="3"/>
  <c r="L696" i="3"/>
  <c r="L697" i="3"/>
  <c r="L698" i="3"/>
  <c r="L699" i="3"/>
  <c r="L700" i="3"/>
  <c r="L701" i="3"/>
  <c r="L702" i="3"/>
  <c r="L703" i="3"/>
  <c r="L704" i="3"/>
  <c r="L705" i="3"/>
  <c r="C2" i="3"/>
  <c r="C3" i="3"/>
  <c r="C4" i="3"/>
  <c r="C5" i="3"/>
  <c r="C6" i="3"/>
  <c r="C7" i="3"/>
  <c r="C8" i="3"/>
  <c r="C9" i="3"/>
  <c r="C10" i="3"/>
  <c r="C11" i="3"/>
  <c r="C12" i="3"/>
  <c r="C13" i="3"/>
  <c r="C14" i="3"/>
  <c r="C15" i="3"/>
  <c r="C16" i="3"/>
  <c r="C17" i="3"/>
  <c r="C18" i="3"/>
  <c r="C19" i="3"/>
  <c r="C20" i="3"/>
  <c r="C21" i="3"/>
  <c r="C22" i="3"/>
  <c r="C23" i="3"/>
  <c r="C24" i="3"/>
  <c r="C25" i="3"/>
  <c r="C26" i="3"/>
  <c r="C27" i="3"/>
  <c r="C28" i="3"/>
  <c r="C29" i="3"/>
  <c r="C30" i="3"/>
  <c r="C31" i="3"/>
  <c r="C32" i="3"/>
  <c r="C33" i="3"/>
  <c r="C34" i="3"/>
  <c r="C35" i="3"/>
  <c r="C36" i="3"/>
  <c r="C37" i="3"/>
  <c r="C38" i="3"/>
  <c r="C39" i="3"/>
  <c r="C40" i="3"/>
  <c r="C41" i="3"/>
  <c r="C42" i="3"/>
  <c r="C43" i="3"/>
  <c r="C44" i="3"/>
  <c r="C45" i="3"/>
  <c r="C46" i="3"/>
  <c r="C47" i="3"/>
  <c r="C48" i="3"/>
  <c r="C49" i="3"/>
  <c r="C50" i="3"/>
  <c r="C51" i="3"/>
  <c r="C52" i="3"/>
  <c r="C53" i="3"/>
  <c r="C54" i="3"/>
  <c r="C55" i="3"/>
  <c r="C56" i="3"/>
  <c r="C57" i="3"/>
  <c r="C58" i="3"/>
  <c r="C59" i="3"/>
  <c r="C60" i="3"/>
  <c r="C61" i="3"/>
  <c r="C62" i="3"/>
  <c r="C63" i="3"/>
  <c r="C64" i="3"/>
  <c r="C65" i="3"/>
  <c r="C66" i="3"/>
  <c r="C67" i="3"/>
  <c r="C68" i="3"/>
  <c r="C69" i="3"/>
  <c r="C70" i="3"/>
  <c r="C71" i="3"/>
  <c r="C72" i="3"/>
  <c r="C73" i="3"/>
  <c r="C74" i="3"/>
  <c r="C75" i="3"/>
  <c r="C76" i="3"/>
  <c r="C77" i="3"/>
  <c r="C78" i="3"/>
  <c r="C79" i="3"/>
  <c r="C80" i="3"/>
  <c r="C81" i="3"/>
  <c r="C82" i="3"/>
  <c r="C83" i="3"/>
  <c r="C84" i="3"/>
  <c r="C85" i="3"/>
  <c r="C86" i="3"/>
  <c r="C87" i="3"/>
  <c r="C88" i="3"/>
  <c r="C89" i="3"/>
  <c r="C90" i="3"/>
  <c r="C91" i="3"/>
  <c r="C92" i="3"/>
  <c r="C93" i="3"/>
  <c r="C94" i="3"/>
  <c r="C95" i="3"/>
  <c r="C96" i="3"/>
  <c r="C97" i="3"/>
  <c r="C98" i="3"/>
  <c r="C99" i="3"/>
  <c r="C100" i="3"/>
  <c r="C101" i="3"/>
  <c r="C102" i="3"/>
  <c r="C103" i="3"/>
  <c r="C104" i="3"/>
  <c r="C105" i="3"/>
  <c r="C106" i="3"/>
  <c r="C107" i="3"/>
  <c r="C108" i="3"/>
  <c r="C109" i="3"/>
  <c r="C110" i="3"/>
  <c r="C111" i="3"/>
  <c r="C112" i="3"/>
  <c r="C113" i="3"/>
  <c r="C114" i="3"/>
  <c r="C115" i="3"/>
  <c r="C116" i="3"/>
  <c r="C117" i="3"/>
  <c r="C118" i="3"/>
  <c r="C119" i="3"/>
  <c r="C120" i="3"/>
  <c r="C121" i="3"/>
  <c r="C122" i="3"/>
  <c r="C123" i="3"/>
  <c r="C124" i="3"/>
  <c r="C125" i="3"/>
  <c r="C126" i="3"/>
  <c r="C127" i="3"/>
  <c r="C128" i="3"/>
  <c r="C129" i="3"/>
  <c r="C130" i="3"/>
  <c r="C131" i="3"/>
  <c r="C132" i="3"/>
  <c r="C133" i="3"/>
  <c r="C134" i="3"/>
  <c r="C135" i="3"/>
  <c r="C136" i="3"/>
  <c r="C137" i="3"/>
  <c r="C138" i="3"/>
  <c r="C139" i="3"/>
  <c r="C140" i="3"/>
  <c r="C141" i="3"/>
  <c r="C142" i="3"/>
  <c r="C143" i="3"/>
  <c r="C144" i="3"/>
  <c r="C145" i="3"/>
  <c r="C146" i="3"/>
  <c r="C147" i="3"/>
  <c r="C148" i="3"/>
  <c r="C149" i="3"/>
  <c r="C150" i="3"/>
  <c r="C151" i="3"/>
  <c r="C152" i="3"/>
  <c r="C153" i="3"/>
  <c r="C154" i="3"/>
  <c r="C155" i="3"/>
  <c r="C156" i="3"/>
  <c r="C157" i="3"/>
  <c r="C158" i="3"/>
  <c r="C159" i="3"/>
  <c r="C160" i="3"/>
  <c r="C161" i="3"/>
  <c r="C162" i="3"/>
  <c r="C163" i="3"/>
  <c r="C164" i="3"/>
  <c r="C165" i="3"/>
  <c r="C166" i="3"/>
  <c r="C167" i="3"/>
  <c r="C168" i="3"/>
  <c r="C169" i="3"/>
  <c r="C170" i="3"/>
  <c r="C171" i="3"/>
  <c r="C172" i="3"/>
  <c r="C173" i="3"/>
  <c r="C174" i="3"/>
  <c r="C175" i="3"/>
  <c r="C176" i="3"/>
  <c r="C177" i="3"/>
  <c r="C178" i="3"/>
  <c r="C179" i="3"/>
  <c r="C180" i="3"/>
  <c r="C181" i="3"/>
  <c r="C182" i="3"/>
  <c r="C183" i="3"/>
  <c r="C184" i="3"/>
  <c r="C185" i="3"/>
  <c r="C186" i="3"/>
  <c r="C187" i="3"/>
  <c r="C188" i="3"/>
  <c r="C189" i="3"/>
  <c r="C190" i="3"/>
  <c r="C191" i="3"/>
  <c r="C192" i="3"/>
  <c r="C193" i="3"/>
  <c r="C194" i="3"/>
  <c r="C195" i="3"/>
  <c r="C196" i="3"/>
  <c r="C197" i="3"/>
  <c r="C198" i="3"/>
  <c r="C199" i="3"/>
  <c r="C200" i="3"/>
  <c r="C201" i="3"/>
  <c r="C202" i="3"/>
  <c r="C203" i="3"/>
  <c r="C204" i="3"/>
  <c r="C205" i="3"/>
  <c r="C206" i="3"/>
  <c r="C207" i="3"/>
  <c r="C208" i="3"/>
  <c r="C209" i="3"/>
  <c r="C210" i="3"/>
  <c r="C211" i="3"/>
  <c r="C212" i="3"/>
  <c r="C213" i="3"/>
  <c r="C214" i="3"/>
  <c r="C215" i="3"/>
  <c r="C216" i="3"/>
  <c r="C217" i="3"/>
  <c r="C218" i="3"/>
  <c r="C219" i="3"/>
  <c r="C220" i="3"/>
  <c r="C221" i="3"/>
  <c r="C222" i="3"/>
  <c r="C223" i="3"/>
  <c r="C224" i="3"/>
  <c r="C225" i="3"/>
  <c r="C226" i="3"/>
  <c r="C227" i="3"/>
  <c r="C228" i="3"/>
  <c r="C229" i="3"/>
  <c r="C230" i="3"/>
  <c r="C231" i="3"/>
  <c r="C232" i="3"/>
  <c r="C233" i="3"/>
  <c r="C234" i="3"/>
  <c r="C235" i="3"/>
  <c r="C236" i="3"/>
  <c r="C237" i="3"/>
  <c r="C238" i="3"/>
  <c r="C239" i="3"/>
  <c r="C240" i="3"/>
  <c r="C241" i="3"/>
  <c r="C242" i="3"/>
  <c r="C243" i="3"/>
  <c r="C244" i="3"/>
  <c r="C245" i="3"/>
  <c r="C246" i="3"/>
  <c r="C247" i="3"/>
  <c r="C248" i="3"/>
  <c r="C249" i="3"/>
  <c r="C250" i="3"/>
  <c r="C251" i="3"/>
  <c r="C252" i="3"/>
  <c r="C253" i="3"/>
  <c r="C254" i="3"/>
  <c r="C255" i="3"/>
  <c r="C256" i="3"/>
  <c r="C257" i="3"/>
  <c r="C258" i="3"/>
  <c r="C259" i="3"/>
  <c r="C260" i="3"/>
  <c r="C261" i="3"/>
  <c r="C262" i="3"/>
  <c r="C263" i="3"/>
  <c r="C264" i="3"/>
  <c r="C265" i="3"/>
  <c r="C266" i="3"/>
  <c r="C267" i="3"/>
  <c r="C268" i="3"/>
  <c r="C269" i="3"/>
  <c r="C270" i="3"/>
  <c r="C271" i="3"/>
  <c r="C272" i="3"/>
  <c r="C273" i="3"/>
  <c r="C274" i="3"/>
  <c r="C275" i="3"/>
  <c r="C276" i="3"/>
  <c r="C277" i="3"/>
  <c r="C278" i="3"/>
  <c r="C279" i="3"/>
  <c r="C280" i="3"/>
  <c r="C281" i="3"/>
  <c r="C282" i="3"/>
  <c r="C283" i="3"/>
  <c r="C284" i="3"/>
  <c r="C285" i="3"/>
  <c r="C286" i="3"/>
  <c r="C287" i="3"/>
  <c r="C288" i="3"/>
  <c r="C289" i="3"/>
  <c r="C290" i="3"/>
  <c r="C291" i="3"/>
  <c r="C292" i="3"/>
  <c r="C293" i="3"/>
  <c r="C294" i="3"/>
  <c r="C295" i="3"/>
  <c r="C296" i="3"/>
  <c r="C297" i="3"/>
  <c r="C298" i="3"/>
  <c r="C299" i="3"/>
  <c r="C300" i="3"/>
  <c r="C301" i="3"/>
  <c r="C302" i="3"/>
  <c r="C303" i="3"/>
  <c r="C304" i="3"/>
  <c r="C305" i="3"/>
  <c r="C306" i="3"/>
  <c r="C307" i="3"/>
  <c r="C308" i="3"/>
  <c r="C309" i="3"/>
  <c r="C310" i="3"/>
  <c r="C311" i="3"/>
  <c r="C312" i="3"/>
  <c r="C313" i="3"/>
  <c r="C314" i="3"/>
  <c r="C315" i="3"/>
  <c r="C316" i="3"/>
  <c r="C317" i="3"/>
  <c r="C318" i="3"/>
  <c r="C319" i="3"/>
  <c r="C320" i="3"/>
  <c r="C321" i="3"/>
  <c r="C322" i="3"/>
  <c r="C323" i="3"/>
  <c r="C324" i="3"/>
  <c r="C325" i="3"/>
  <c r="C326" i="3"/>
  <c r="C327" i="3"/>
  <c r="C328" i="3"/>
  <c r="C329" i="3"/>
  <c r="C330" i="3"/>
  <c r="C331" i="3"/>
  <c r="C332" i="3"/>
  <c r="C333" i="3"/>
  <c r="C334" i="3"/>
  <c r="C335" i="3"/>
  <c r="C336" i="3"/>
  <c r="C337" i="3"/>
  <c r="C338" i="3"/>
  <c r="C339" i="3"/>
  <c r="C340" i="3"/>
  <c r="C341" i="3"/>
  <c r="C342" i="3"/>
  <c r="C343" i="3"/>
  <c r="C344" i="3"/>
  <c r="C345" i="3"/>
  <c r="C346" i="3"/>
  <c r="C347" i="3"/>
  <c r="C348" i="3"/>
  <c r="C349" i="3"/>
  <c r="C350" i="3"/>
  <c r="C351" i="3"/>
  <c r="C352" i="3"/>
  <c r="C353" i="3"/>
  <c r="C354" i="3"/>
  <c r="C355" i="3"/>
  <c r="C356" i="3"/>
  <c r="C357" i="3"/>
  <c r="C358" i="3"/>
  <c r="C359" i="3"/>
  <c r="C360" i="3"/>
  <c r="C361" i="3"/>
  <c r="C362" i="3"/>
  <c r="C363" i="3"/>
  <c r="C364" i="3"/>
  <c r="C365" i="3"/>
  <c r="C366" i="3"/>
  <c r="C367" i="3"/>
  <c r="C368" i="3"/>
  <c r="C369" i="3"/>
  <c r="C370" i="3"/>
  <c r="C371" i="3"/>
  <c r="C372" i="3"/>
  <c r="C373" i="3"/>
  <c r="C374" i="3"/>
  <c r="C375" i="3"/>
  <c r="C376" i="3"/>
  <c r="C377" i="3"/>
  <c r="C378" i="3"/>
  <c r="C379" i="3"/>
  <c r="C380" i="3"/>
  <c r="C381" i="3"/>
  <c r="C382" i="3"/>
  <c r="C383" i="3"/>
  <c r="C384" i="3"/>
  <c r="C385" i="3"/>
  <c r="C386" i="3"/>
  <c r="C387" i="3"/>
  <c r="C388" i="3"/>
  <c r="C389" i="3"/>
  <c r="C390" i="3"/>
  <c r="C391" i="3"/>
  <c r="C392" i="3"/>
  <c r="C393" i="3"/>
  <c r="C394" i="3"/>
  <c r="C395" i="3"/>
  <c r="C396" i="3"/>
  <c r="C397" i="3"/>
  <c r="C398" i="3"/>
  <c r="C399" i="3"/>
  <c r="C400" i="3"/>
  <c r="C401" i="3"/>
  <c r="C402" i="3"/>
  <c r="C403" i="3"/>
  <c r="C404" i="3"/>
  <c r="C405" i="3"/>
  <c r="C406" i="3"/>
  <c r="C407" i="3"/>
  <c r="C408" i="3"/>
  <c r="C409" i="3"/>
  <c r="C410" i="3"/>
  <c r="C411" i="3"/>
  <c r="C412" i="3"/>
  <c r="C413" i="3"/>
  <c r="C414" i="3"/>
  <c r="C415" i="3"/>
  <c r="C416" i="3"/>
  <c r="C417" i="3"/>
  <c r="C418" i="3"/>
  <c r="C419" i="3"/>
  <c r="C420" i="3"/>
  <c r="C421" i="3"/>
  <c r="C422" i="3"/>
  <c r="C423" i="3"/>
  <c r="C424" i="3"/>
  <c r="C425" i="3"/>
  <c r="C426" i="3"/>
  <c r="C427" i="3"/>
  <c r="C428" i="3"/>
  <c r="C429" i="3"/>
  <c r="C430" i="3"/>
  <c r="C431" i="3"/>
  <c r="C432" i="3"/>
  <c r="C433" i="3"/>
  <c r="C434" i="3"/>
  <c r="C435" i="3"/>
  <c r="C436" i="3"/>
  <c r="C437" i="3"/>
  <c r="C438" i="3"/>
  <c r="C439" i="3"/>
  <c r="C440" i="3"/>
  <c r="C441" i="3"/>
  <c r="C442" i="3"/>
  <c r="C443" i="3"/>
  <c r="C444" i="3"/>
  <c r="C445" i="3"/>
  <c r="C446" i="3"/>
  <c r="C447" i="3"/>
  <c r="C448" i="3"/>
  <c r="C449" i="3"/>
  <c r="C450" i="3"/>
  <c r="C451" i="3"/>
  <c r="C452" i="3"/>
  <c r="C453" i="3"/>
  <c r="C454" i="3"/>
  <c r="C455" i="3"/>
  <c r="C456" i="3"/>
  <c r="C457" i="3"/>
  <c r="C458" i="3"/>
  <c r="C459" i="3"/>
  <c r="C460" i="3"/>
  <c r="C461" i="3"/>
  <c r="C462" i="3"/>
  <c r="C463" i="3"/>
  <c r="C464" i="3"/>
  <c r="C465" i="3"/>
  <c r="C466" i="3"/>
  <c r="C467" i="3"/>
  <c r="C468" i="3"/>
  <c r="C469" i="3"/>
  <c r="C470" i="3"/>
  <c r="C471" i="3"/>
  <c r="C472" i="3"/>
  <c r="C473" i="3"/>
  <c r="C474" i="3"/>
  <c r="C475" i="3"/>
  <c r="C476" i="3"/>
  <c r="C477" i="3"/>
  <c r="C478" i="3"/>
  <c r="C479" i="3"/>
  <c r="C480" i="3"/>
  <c r="C481" i="3"/>
  <c r="C482" i="3"/>
  <c r="C483" i="3"/>
  <c r="C484" i="3"/>
  <c r="C485" i="3"/>
  <c r="C486" i="3"/>
  <c r="C487" i="3"/>
  <c r="C488" i="3"/>
  <c r="C489" i="3"/>
  <c r="C490" i="3"/>
  <c r="C491" i="3"/>
  <c r="C492" i="3"/>
  <c r="C493" i="3"/>
  <c r="C494" i="3"/>
  <c r="C495" i="3"/>
  <c r="C496" i="3"/>
  <c r="C497" i="3"/>
  <c r="C498" i="3"/>
  <c r="C499" i="3"/>
  <c r="C500" i="3"/>
  <c r="C501" i="3"/>
  <c r="C502" i="3"/>
  <c r="C503" i="3"/>
  <c r="C504" i="3"/>
  <c r="C505" i="3"/>
  <c r="C506" i="3"/>
  <c r="C507" i="3"/>
  <c r="C508" i="3"/>
  <c r="C509" i="3"/>
  <c r="C510" i="3"/>
  <c r="C511" i="3"/>
  <c r="C512" i="3"/>
  <c r="C513" i="3"/>
  <c r="C514" i="3"/>
  <c r="C515" i="3"/>
  <c r="C516" i="3"/>
  <c r="C517" i="3"/>
  <c r="C518" i="3"/>
  <c r="C519" i="3"/>
  <c r="C520" i="3"/>
  <c r="C521" i="3"/>
  <c r="C522" i="3"/>
  <c r="C523" i="3"/>
  <c r="C524" i="3"/>
  <c r="C525" i="3"/>
  <c r="C526" i="3"/>
  <c r="C527" i="3"/>
  <c r="C528" i="3"/>
  <c r="C529" i="3"/>
  <c r="C530" i="3"/>
  <c r="C531" i="3"/>
  <c r="C532" i="3"/>
  <c r="C533" i="3"/>
  <c r="C534" i="3"/>
  <c r="C535" i="3"/>
  <c r="C536" i="3"/>
  <c r="C537" i="3"/>
  <c r="C538" i="3"/>
  <c r="C539" i="3"/>
  <c r="C540" i="3"/>
  <c r="C541" i="3"/>
  <c r="C542" i="3"/>
  <c r="C543" i="3"/>
  <c r="C544" i="3"/>
  <c r="C545" i="3"/>
  <c r="C546" i="3"/>
  <c r="C547" i="3"/>
  <c r="C548" i="3"/>
  <c r="C549" i="3"/>
  <c r="C550" i="3"/>
  <c r="C551" i="3"/>
  <c r="C552" i="3"/>
  <c r="C553" i="3"/>
  <c r="C554" i="3"/>
  <c r="C555" i="3"/>
  <c r="C556" i="3"/>
  <c r="C557" i="3"/>
  <c r="C558" i="3"/>
  <c r="C559" i="3"/>
  <c r="C560" i="3"/>
  <c r="C561" i="3"/>
  <c r="C562" i="3"/>
  <c r="C563" i="3"/>
  <c r="C564" i="3"/>
  <c r="C565" i="3"/>
  <c r="C566" i="3"/>
  <c r="C567" i="3"/>
  <c r="C568" i="3"/>
  <c r="C569" i="3"/>
  <c r="C570" i="3"/>
  <c r="C571" i="3"/>
  <c r="C572" i="3"/>
  <c r="C573" i="3"/>
  <c r="C574" i="3"/>
  <c r="C575" i="3"/>
  <c r="C576" i="3"/>
  <c r="C577" i="3"/>
  <c r="C578" i="3"/>
  <c r="C579" i="3"/>
  <c r="C580" i="3"/>
  <c r="C581" i="3"/>
  <c r="C582" i="3"/>
  <c r="C583" i="3"/>
  <c r="C584" i="3"/>
  <c r="C585" i="3"/>
  <c r="C586" i="3"/>
  <c r="C587" i="3"/>
  <c r="C588" i="3"/>
  <c r="C589" i="3"/>
  <c r="C590" i="3"/>
  <c r="C591" i="3"/>
  <c r="C592" i="3"/>
  <c r="C593" i="3"/>
  <c r="C594" i="3"/>
  <c r="C595" i="3"/>
  <c r="C596" i="3"/>
  <c r="C597" i="3"/>
  <c r="C598" i="3"/>
  <c r="C599" i="3"/>
  <c r="C600" i="3"/>
  <c r="C601" i="3"/>
  <c r="C602" i="3"/>
  <c r="C603" i="3"/>
  <c r="C604" i="3"/>
  <c r="C605" i="3"/>
  <c r="C606" i="3"/>
  <c r="C607" i="3"/>
  <c r="C608" i="3"/>
  <c r="C609" i="3"/>
  <c r="C610" i="3"/>
  <c r="C611" i="3"/>
  <c r="C612" i="3"/>
  <c r="C613" i="3"/>
  <c r="C614" i="3"/>
  <c r="C615" i="3"/>
  <c r="C616" i="3"/>
  <c r="C617" i="3"/>
  <c r="C618" i="3"/>
  <c r="C619" i="3"/>
  <c r="C620" i="3"/>
  <c r="C621" i="3"/>
  <c r="C622" i="3"/>
  <c r="C623" i="3"/>
  <c r="C624" i="3"/>
  <c r="C625" i="3"/>
  <c r="C626" i="3"/>
  <c r="C627" i="3"/>
  <c r="C628" i="3"/>
  <c r="C629" i="3"/>
  <c r="C630" i="3"/>
  <c r="C631" i="3"/>
  <c r="C632" i="3"/>
  <c r="C633" i="3"/>
  <c r="C634" i="3"/>
  <c r="C635" i="3"/>
  <c r="C636" i="3"/>
  <c r="C637" i="3"/>
  <c r="C638" i="3"/>
  <c r="C639" i="3"/>
  <c r="C640" i="3"/>
  <c r="C641" i="3"/>
  <c r="C642" i="3"/>
  <c r="C643" i="3"/>
  <c r="C644" i="3"/>
  <c r="C645" i="3"/>
  <c r="C646" i="3"/>
  <c r="C647" i="3"/>
  <c r="C648" i="3"/>
  <c r="C649" i="3"/>
  <c r="C650" i="3"/>
  <c r="C651" i="3"/>
  <c r="C652" i="3"/>
  <c r="C653" i="3"/>
  <c r="C654" i="3"/>
  <c r="C655" i="3"/>
  <c r="C656" i="3"/>
  <c r="C657" i="3"/>
  <c r="C658" i="3"/>
  <c r="C659" i="3"/>
  <c r="C660" i="3"/>
  <c r="C661" i="3"/>
  <c r="C662" i="3"/>
  <c r="C663" i="3"/>
  <c r="C664" i="3"/>
  <c r="C665" i="3"/>
  <c r="C666" i="3"/>
  <c r="C667" i="3"/>
  <c r="C668" i="3"/>
  <c r="C669" i="3"/>
  <c r="C670" i="3"/>
  <c r="C671" i="3"/>
  <c r="C672" i="3"/>
  <c r="C673" i="3"/>
  <c r="C674" i="3"/>
  <c r="C675" i="3"/>
  <c r="C676" i="3"/>
  <c r="C677" i="3"/>
  <c r="C678" i="3"/>
  <c r="C679" i="3"/>
  <c r="C680" i="3"/>
  <c r="C681" i="3"/>
  <c r="C682" i="3"/>
  <c r="C683" i="3"/>
  <c r="C684" i="3"/>
  <c r="C685" i="3"/>
  <c r="C686" i="3"/>
  <c r="C687" i="3"/>
  <c r="C688" i="3"/>
  <c r="C689" i="3"/>
  <c r="C690" i="3"/>
  <c r="C691" i="3"/>
  <c r="C692" i="3"/>
  <c r="C693" i="3"/>
  <c r="C694" i="3"/>
  <c r="C695" i="3"/>
  <c r="C696" i="3"/>
  <c r="C697" i="3"/>
  <c r="C698" i="3"/>
  <c r="C699" i="3"/>
  <c r="C700" i="3"/>
  <c r="C701" i="3"/>
  <c r="C702" i="3"/>
  <c r="C703" i="3"/>
  <c r="C704" i="3"/>
  <c r="C705" i="3"/>
  <c r="H2" i="3"/>
  <c r="H3" i="3"/>
  <c r="H4" i="3"/>
  <c r="H5" i="3"/>
  <c r="H6" i="3"/>
  <c r="H7" i="3"/>
  <c r="H8" i="3"/>
  <c r="H9" i="3"/>
  <c r="H10" i="3"/>
  <c r="H11" i="3"/>
  <c r="H12" i="3"/>
  <c r="H13" i="3"/>
  <c r="H14" i="3"/>
  <c r="H15" i="3"/>
  <c r="H16" i="3"/>
  <c r="H17" i="3"/>
  <c r="H18" i="3"/>
  <c r="H19" i="3"/>
  <c r="H20" i="3"/>
  <c r="H21" i="3"/>
  <c r="H22" i="3"/>
  <c r="H23" i="3"/>
  <c r="H24" i="3"/>
  <c r="H25" i="3"/>
  <c r="H26" i="3"/>
  <c r="H27" i="3"/>
  <c r="H28" i="3"/>
  <c r="H29" i="3"/>
  <c r="H30" i="3"/>
  <c r="H31" i="3"/>
  <c r="H32" i="3"/>
  <c r="H33" i="3"/>
  <c r="H34" i="3"/>
  <c r="H35" i="3"/>
  <c r="H36" i="3"/>
  <c r="H37" i="3"/>
  <c r="H38" i="3"/>
  <c r="H39" i="3"/>
  <c r="H40" i="3"/>
  <c r="H41" i="3"/>
  <c r="H42" i="3"/>
  <c r="H43" i="3"/>
  <c r="H44" i="3"/>
  <c r="H45" i="3"/>
  <c r="H46" i="3"/>
  <c r="H47" i="3"/>
  <c r="H48" i="3"/>
  <c r="H49" i="3"/>
  <c r="H50" i="3"/>
  <c r="H51" i="3"/>
  <c r="H52" i="3"/>
  <c r="H53" i="3"/>
  <c r="H54" i="3"/>
  <c r="H55" i="3"/>
  <c r="H56" i="3"/>
  <c r="H57" i="3"/>
  <c r="H58" i="3"/>
  <c r="H59" i="3"/>
  <c r="H60" i="3"/>
  <c r="H61" i="3"/>
  <c r="H62" i="3"/>
  <c r="H63" i="3"/>
  <c r="H64" i="3"/>
  <c r="H65" i="3"/>
  <c r="H66" i="3"/>
  <c r="H67" i="3"/>
  <c r="H68" i="3"/>
  <c r="H69" i="3"/>
  <c r="H70" i="3"/>
  <c r="H71" i="3"/>
  <c r="H72" i="3"/>
  <c r="H73" i="3"/>
  <c r="H74" i="3"/>
  <c r="H75" i="3"/>
  <c r="H76" i="3"/>
  <c r="H77" i="3"/>
  <c r="H78" i="3"/>
  <c r="H79" i="3"/>
  <c r="H80" i="3"/>
  <c r="H81" i="3"/>
  <c r="H82" i="3"/>
  <c r="H83" i="3"/>
  <c r="H84" i="3"/>
  <c r="H85" i="3"/>
  <c r="H86" i="3"/>
  <c r="H87" i="3"/>
  <c r="H88" i="3"/>
  <c r="H89" i="3"/>
  <c r="H90" i="3"/>
  <c r="H91" i="3"/>
  <c r="H92" i="3"/>
  <c r="H93" i="3"/>
  <c r="H94" i="3"/>
  <c r="H95" i="3"/>
  <c r="H96" i="3"/>
  <c r="H97" i="3"/>
  <c r="H98" i="3"/>
  <c r="H99" i="3"/>
  <c r="H100" i="3"/>
  <c r="H101" i="3"/>
  <c r="H102" i="3"/>
  <c r="H103" i="3"/>
  <c r="H104" i="3"/>
  <c r="H105" i="3"/>
  <c r="H106" i="3"/>
  <c r="H107" i="3"/>
  <c r="H108" i="3"/>
  <c r="H109" i="3"/>
  <c r="H110" i="3"/>
  <c r="H111" i="3"/>
  <c r="H112" i="3"/>
  <c r="H113" i="3"/>
  <c r="H114" i="3"/>
  <c r="H115" i="3"/>
  <c r="H116" i="3"/>
  <c r="H117" i="3"/>
  <c r="H118" i="3"/>
  <c r="H119" i="3"/>
  <c r="H120" i="3"/>
  <c r="H121" i="3"/>
  <c r="H122" i="3"/>
  <c r="H123" i="3"/>
  <c r="H124" i="3"/>
  <c r="H125" i="3"/>
  <c r="H126" i="3"/>
  <c r="H127" i="3"/>
  <c r="H128" i="3"/>
  <c r="H129" i="3"/>
  <c r="H130" i="3"/>
  <c r="H131" i="3"/>
  <c r="H132" i="3"/>
  <c r="H133" i="3"/>
  <c r="H134" i="3"/>
  <c r="H135" i="3"/>
  <c r="H136" i="3"/>
  <c r="H137" i="3"/>
  <c r="H138" i="3"/>
  <c r="H139" i="3"/>
  <c r="H140" i="3"/>
  <c r="H141" i="3"/>
  <c r="H142" i="3"/>
  <c r="H143" i="3"/>
  <c r="H144" i="3"/>
  <c r="H145" i="3"/>
  <c r="H146" i="3"/>
  <c r="H147" i="3"/>
  <c r="H148" i="3"/>
  <c r="H149" i="3"/>
  <c r="H150" i="3"/>
  <c r="H151" i="3"/>
  <c r="H152" i="3"/>
  <c r="H153" i="3"/>
  <c r="H154" i="3"/>
  <c r="H155" i="3"/>
  <c r="H156" i="3"/>
  <c r="H157" i="3"/>
  <c r="H158" i="3"/>
  <c r="H159" i="3"/>
  <c r="H160" i="3"/>
  <c r="H161" i="3"/>
  <c r="H162" i="3"/>
  <c r="H163" i="3"/>
  <c r="H164" i="3"/>
  <c r="H165" i="3"/>
  <c r="H166" i="3"/>
  <c r="H167" i="3"/>
  <c r="H168" i="3"/>
  <c r="H169" i="3"/>
  <c r="H170" i="3"/>
  <c r="H171" i="3"/>
  <c r="H172" i="3"/>
  <c r="H173" i="3"/>
  <c r="H174" i="3"/>
  <c r="H175" i="3"/>
  <c r="H176" i="3"/>
  <c r="H177" i="3"/>
  <c r="H178" i="3"/>
  <c r="H179" i="3"/>
  <c r="H180" i="3"/>
  <c r="H181" i="3"/>
  <c r="H182" i="3"/>
  <c r="H183" i="3"/>
  <c r="H184" i="3"/>
  <c r="H185" i="3"/>
  <c r="H186" i="3"/>
  <c r="H187" i="3"/>
  <c r="H188" i="3"/>
  <c r="H189" i="3"/>
  <c r="H190" i="3"/>
  <c r="H191" i="3"/>
  <c r="H192" i="3"/>
  <c r="H193" i="3"/>
  <c r="H194" i="3"/>
  <c r="H195" i="3"/>
  <c r="H196" i="3"/>
  <c r="H197" i="3"/>
  <c r="H198" i="3"/>
  <c r="H199" i="3"/>
  <c r="H200" i="3"/>
  <c r="H201" i="3"/>
  <c r="H202" i="3"/>
  <c r="H203" i="3"/>
  <c r="H204" i="3"/>
  <c r="H205" i="3"/>
  <c r="H206" i="3"/>
  <c r="H207" i="3"/>
  <c r="H208" i="3"/>
  <c r="H209" i="3"/>
  <c r="H210" i="3"/>
  <c r="H211" i="3"/>
  <c r="H212" i="3"/>
  <c r="H213" i="3"/>
  <c r="H214" i="3"/>
  <c r="H215" i="3"/>
  <c r="H216" i="3"/>
  <c r="H217" i="3"/>
  <c r="H218" i="3"/>
  <c r="H219" i="3"/>
  <c r="H220" i="3"/>
  <c r="H221" i="3"/>
  <c r="H222" i="3"/>
  <c r="H223" i="3"/>
  <c r="H224" i="3"/>
  <c r="H225" i="3"/>
  <c r="H226" i="3"/>
  <c r="H227" i="3"/>
  <c r="H228" i="3"/>
  <c r="H229" i="3"/>
  <c r="H230" i="3"/>
  <c r="H231" i="3"/>
  <c r="H232" i="3"/>
  <c r="H233" i="3"/>
  <c r="H234" i="3"/>
  <c r="H235" i="3"/>
  <c r="H236" i="3"/>
  <c r="H237" i="3"/>
  <c r="H238" i="3"/>
  <c r="H239" i="3"/>
  <c r="H240" i="3"/>
  <c r="H241" i="3"/>
  <c r="H242" i="3"/>
  <c r="H243" i="3"/>
  <c r="H244" i="3"/>
  <c r="H245" i="3"/>
  <c r="H246" i="3"/>
  <c r="H247" i="3"/>
  <c r="H248" i="3"/>
  <c r="H249" i="3"/>
  <c r="H250" i="3"/>
  <c r="H251" i="3"/>
  <c r="H252" i="3"/>
  <c r="H253" i="3"/>
  <c r="H254" i="3"/>
  <c r="H255" i="3"/>
  <c r="H256" i="3"/>
  <c r="H257" i="3"/>
  <c r="H258" i="3"/>
  <c r="H259" i="3"/>
  <c r="H260" i="3"/>
  <c r="H261" i="3"/>
  <c r="H262" i="3"/>
  <c r="H263" i="3"/>
  <c r="H264" i="3"/>
  <c r="H265" i="3"/>
  <c r="H266" i="3"/>
  <c r="H267" i="3"/>
  <c r="H268" i="3"/>
  <c r="H269" i="3"/>
  <c r="H270" i="3"/>
  <c r="H271" i="3"/>
  <c r="H272" i="3"/>
  <c r="H273" i="3"/>
  <c r="H274" i="3"/>
  <c r="H275" i="3"/>
  <c r="H276" i="3"/>
  <c r="H277" i="3"/>
  <c r="H278" i="3"/>
  <c r="H279" i="3"/>
  <c r="H280" i="3"/>
  <c r="H281" i="3"/>
  <c r="H282" i="3"/>
  <c r="H283" i="3"/>
  <c r="H284" i="3"/>
  <c r="H285" i="3"/>
  <c r="H286" i="3"/>
  <c r="H287" i="3"/>
  <c r="H288" i="3"/>
  <c r="H289" i="3"/>
  <c r="H290" i="3"/>
  <c r="H291" i="3"/>
  <c r="H292" i="3"/>
  <c r="H293" i="3"/>
  <c r="H294" i="3"/>
  <c r="H295" i="3"/>
  <c r="H296" i="3"/>
  <c r="H297" i="3"/>
  <c r="H298" i="3"/>
  <c r="H299" i="3"/>
  <c r="H300" i="3"/>
  <c r="H301" i="3"/>
  <c r="H302" i="3"/>
  <c r="H303" i="3"/>
  <c r="H304" i="3"/>
  <c r="H305" i="3"/>
  <c r="H306" i="3"/>
  <c r="H307" i="3"/>
  <c r="H308" i="3"/>
  <c r="H309" i="3"/>
  <c r="H310" i="3"/>
  <c r="H311" i="3"/>
  <c r="H312" i="3"/>
  <c r="H313" i="3"/>
  <c r="H314" i="3"/>
  <c r="H315" i="3"/>
  <c r="H316" i="3"/>
  <c r="H317" i="3"/>
  <c r="H318" i="3"/>
  <c r="H319" i="3"/>
  <c r="H320" i="3"/>
  <c r="H321" i="3"/>
  <c r="H322" i="3"/>
  <c r="H323" i="3"/>
  <c r="H324" i="3"/>
  <c r="H325" i="3"/>
  <c r="H326" i="3"/>
  <c r="H327" i="3"/>
  <c r="H328" i="3"/>
  <c r="H329" i="3"/>
  <c r="H330" i="3"/>
  <c r="H331" i="3"/>
  <c r="H332" i="3"/>
  <c r="H333" i="3"/>
  <c r="H334" i="3"/>
  <c r="H335" i="3"/>
  <c r="H336" i="3"/>
  <c r="H337" i="3"/>
  <c r="H338" i="3"/>
  <c r="H339" i="3"/>
  <c r="H340" i="3"/>
  <c r="H341" i="3"/>
  <c r="H342" i="3"/>
  <c r="H343" i="3"/>
  <c r="H344" i="3"/>
  <c r="H345" i="3"/>
  <c r="H346" i="3"/>
  <c r="H347" i="3"/>
  <c r="H348" i="3"/>
  <c r="H349" i="3"/>
  <c r="H350" i="3"/>
  <c r="H351" i="3"/>
  <c r="H352" i="3"/>
  <c r="H353" i="3"/>
  <c r="H354" i="3"/>
  <c r="H355" i="3"/>
  <c r="H356" i="3"/>
  <c r="H357" i="3"/>
  <c r="H358" i="3"/>
  <c r="H359" i="3"/>
  <c r="H360" i="3"/>
  <c r="H361" i="3"/>
  <c r="H362" i="3"/>
  <c r="H363" i="3"/>
  <c r="H364" i="3"/>
  <c r="H365" i="3"/>
  <c r="H366" i="3"/>
  <c r="H367" i="3"/>
  <c r="H368" i="3"/>
  <c r="H369" i="3"/>
  <c r="H370" i="3"/>
  <c r="H371" i="3"/>
  <c r="H372" i="3"/>
  <c r="H373" i="3"/>
  <c r="H374" i="3"/>
  <c r="H375" i="3"/>
  <c r="H376" i="3"/>
  <c r="H377" i="3"/>
  <c r="H378" i="3"/>
  <c r="H379" i="3"/>
  <c r="H380" i="3"/>
  <c r="H381" i="3"/>
  <c r="H382" i="3"/>
  <c r="H383" i="3"/>
  <c r="H384" i="3"/>
  <c r="H385" i="3"/>
  <c r="H386" i="3"/>
  <c r="H387" i="3"/>
  <c r="H388" i="3"/>
  <c r="H389" i="3"/>
  <c r="H390" i="3"/>
  <c r="H391" i="3"/>
  <c r="H392" i="3"/>
  <c r="H393" i="3"/>
  <c r="H394" i="3"/>
  <c r="H395" i="3"/>
  <c r="H396" i="3"/>
  <c r="H397" i="3"/>
  <c r="H398" i="3"/>
  <c r="H399" i="3"/>
  <c r="H400" i="3"/>
  <c r="H401" i="3"/>
  <c r="H402" i="3"/>
  <c r="H403" i="3"/>
  <c r="H404" i="3"/>
  <c r="H405" i="3"/>
  <c r="H406" i="3"/>
  <c r="H407" i="3"/>
  <c r="H408" i="3"/>
  <c r="H409" i="3"/>
  <c r="H410" i="3"/>
  <c r="H411" i="3"/>
  <c r="H412" i="3"/>
  <c r="H413" i="3"/>
  <c r="H414" i="3"/>
  <c r="H415" i="3"/>
  <c r="H416" i="3"/>
  <c r="H417" i="3"/>
  <c r="H418" i="3"/>
  <c r="H419" i="3"/>
  <c r="H420" i="3"/>
  <c r="H421" i="3"/>
  <c r="H422" i="3"/>
  <c r="H423" i="3"/>
  <c r="H424" i="3"/>
  <c r="H425" i="3"/>
  <c r="H426" i="3"/>
  <c r="H427" i="3"/>
  <c r="H428" i="3"/>
  <c r="H429" i="3"/>
  <c r="H430" i="3"/>
  <c r="H431" i="3"/>
  <c r="H432" i="3"/>
  <c r="H433" i="3"/>
  <c r="H434" i="3"/>
  <c r="H435" i="3"/>
  <c r="H436" i="3"/>
  <c r="H437" i="3"/>
  <c r="H438" i="3"/>
  <c r="H439" i="3"/>
  <c r="H440" i="3"/>
  <c r="H441" i="3"/>
  <c r="H442" i="3"/>
  <c r="H443" i="3"/>
  <c r="H444" i="3"/>
  <c r="H445" i="3"/>
  <c r="H446" i="3"/>
  <c r="H447" i="3"/>
  <c r="H448" i="3"/>
  <c r="H449" i="3"/>
  <c r="H450" i="3"/>
  <c r="H451" i="3"/>
  <c r="H452" i="3"/>
  <c r="H453" i="3"/>
  <c r="H454" i="3"/>
  <c r="H455" i="3"/>
  <c r="H456" i="3"/>
  <c r="H457" i="3"/>
  <c r="H458" i="3"/>
  <c r="H459" i="3"/>
  <c r="H460" i="3"/>
  <c r="H461" i="3"/>
  <c r="H462" i="3"/>
  <c r="H463" i="3"/>
  <c r="H464" i="3"/>
  <c r="H465" i="3"/>
  <c r="H466" i="3"/>
  <c r="H467" i="3"/>
  <c r="H468" i="3"/>
  <c r="H469" i="3"/>
  <c r="H470" i="3"/>
  <c r="H471" i="3"/>
  <c r="H472" i="3"/>
  <c r="H473" i="3"/>
  <c r="H474" i="3"/>
  <c r="H475" i="3"/>
  <c r="H476" i="3"/>
  <c r="H477" i="3"/>
  <c r="H478" i="3"/>
  <c r="H479" i="3"/>
  <c r="H480" i="3"/>
  <c r="H481" i="3"/>
  <c r="H482" i="3"/>
  <c r="H483" i="3"/>
  <c r="H484" i="3"/>
  <c r="H485" i="3"/>
  <c r="H486" i="3"/>
  <c r="H487" i="3"/>
  <c r="H488" i="3"/>
  <c r="H489" i="3"/>
  <c r="H490" i="3"/>
  <c r="H491" i="3"/>
  <c r="H492" i="3"/>
  <c r="H493" i="3"/>
  <c r="H494" i="3"/>
  <c r="H495" i="3"/>
  <c r="H496" i="3"/>
  <c r="H497" i="3"/>
  <c r="H498" i="3"/>
  <c r="H499" i="3"/>
  <c r="H500" i="3"/>
  <c r="H501" i="3"/>
  <c r="H502" i="3"/>
  <c r="H503" i="3"/>
  <c r="H504" i="3"/>
  <c r="H505" i="3"/>
  <c r="H506" i="3"/>
  <c r="H507" i="3"/>
  <c r="H508" i="3"/>
  <c r="H509" i="3"/>
  <c r="H510" i="3"/>
  <c r="H511" i="3"/>
  <c r="H512" i="3"/>
  <c r="H513" i="3"/>
  <c r="H514" i="3"/>
  <c r="H515" i="3"/>
  <c r="H516" i="3"/>
  <c r="H517" i="3"/>
  <c r="H518" i="3"/>
  <c r="H519" i="3"/>
  <c r="H520" i="3"/>
  <c r="H521" i="3"/>
  <c r="H522" i="3"/>
  <c r="H523" i="3"/>
  <c r="H524" i="3"/>
  <c r="H525" i="3"/>
  <c r="H526" i="3"/>
  <c r="H527" i="3"/>
  <c r="H528" i="3"/>
  <c r="H529" i="3"/>
  <c r="H530" i="3"/>
  <c r="H531" i="3"/>
  <c r="H532" i="3"/>
  <c r="H533" i="3"/>
  <c r="H534" i="3"/>
  <c r="H535" i="3"/>
  <c r="H536" i="3"/>
  <c r="H537" i="3"/>
  <c r="H538" i="3"/>
  <c r="H539" i="3"/>
  <c r="H540" i="3"/>
  <c r="H541" i="3"/>
  <c r="H542" i="3"/>
  <c r="H543" i="3"/>
  <c r="H544" i="3"/>
  <c r="H545" i="3"/>
  <c r="H546" i="3"/>
  <c r="H547" i="3"/>
  <c r="H548" i="3"/>
  <c r="H549" i="3"/>
  <c r="H550" i="3"/>
  <c r="H551" i="3"/>
  <c r="H552" i="3"/>
  <c r="H553" i="3"/>
  <c r="H554" i="3"/>
  <c r="H555" i="3"/>
  <c r="H556" i="3"/>
  <c r="H557" i="3"/>
  <c r="H558" i="3"/>
  <c r="H559" i="3"/>
  <c r="H560" i="3"/>
  <c r="H561" i="3"/>
  <c r="H562" i="3"/>
  <c r="H563" i="3"/>
  <c r="H564" i="3"/>
  <c r="H565" i="3"/>
  <c r="H566" i="3"/>
  <c r="H567" i="3"/>
  <c r="H568" i="3"/>
  <c r="H569" i="3"/>
  <c r="H570" i="3"/>
  <c r="H571" i="3"/>
  <c r="H572" i="3"/>
  <c r="H573" i="3"/>
  <c r="H574" i="3"/>
  <c r="H575" i="3"/>
  <c r="H576" i="3"/>
  <c r="H577" i="3"/>
  <c r="H578" i="3"/>
  <c r="H579" i="3"/>
  <c r="H580" i="3"/>
  <c r="H581" i="3"/>
  <c r="H582" i="3"/>
  <c r="H583" i="3"/>
  <c r="H584" i="3"/>
  <c r="H585" i="3"/>
  <c r="H586" i="3"/>
  <c r="H587" i="3"/>
  <c r="H588" i="3"/>
  <c r="H589" i="3"/>
  <c r="H590" i="3"/>
  <c r="H591" i="3"/>
  <c r="H592" i="3"/>
  <c r="H593" i="3"/>
  <c r="H594" i="3"/>
  <c r="H595" i="3"/>
  <c r="H596" i="3"/>
  <c r="H597" i="3"/>
  <c r="H598" i="3"/>
  <c r="H599" i="3"/>
  <c r="H600" i="3"/>
  <c r="H601" i="3"/>
  <c r="H602" i="3"/>
  <c r="H603" i="3"/>
  <c r="H604" i="3"/>
  <c r="H605" i="3"/>
  <c r="H606" i="3"/>
  <c r="H607" i="3"/>
  <c r="H608" i="3"/>
  <c r="H609" i="3"/>
  <c r="H610" i="3"/>
  <c r="H611" i="3"/>
  <c r="H612" i="3"/>
  <c r="H613" i="3"/>
  <c r="H614" i="3"/>
  <c r="H615" i="3"/>
  <c r="H616" i="3"/>
  <c r="H617" i="3"/>
  <c r="H618" i="3"/>
  <c r="H619" i="3"/>
  <c r="H620" i="3"/>
  <c r="H621" i="3"/>
  <c r="H622" i="3"/>
  <c r="H623" i="3"/>
  <c r="H624" i="3"/>
  <c r="H625" i="3"/>
  <c r="H626" i="3"/>
  <c r="H627" i="3"/>
  <c r="H628" i="3"/>
  <c r="H629" i="3"/>
  <c r="H630" i="3"/>
  <c r="H631" i="3"/>
  <c r="H632" i="3"/>
  <c r="H633" i="3"/>
  <c r="H634" i="3"/>
  <c r="H635" i="3"/>
  <c r="H636" i="3"/>
  <c r="H637" i="3"/>
  <c r="H638" i="3"/>
  <c r="H639" i="3"/>
  <c r="H640" i="3"/>
  <c r="H641" i="3"/>
  <c r="H642" i="3"/>
  <c r="H643" i="3"/>
  <c r="H644" i="3"/>
  <c r="H645" i="3"/>
  <c r="H646" i="3"/>
  <c r="H647" i="3"/>
  <c r="H648" i="3"/>
  <c r="H649" i="3"/>
  <c r="H650" i="3"/>
  <c r="H651" i="3"/>
  <c r="H652" i="3"/>
  <c r="H653" i="3"/>
  <c r="H654" i="3"/>
  <c r="H655" i="3"/>
  <c r="H656" i="3"/>
  <c r="H657" i="3"/>
  <c r="H658" i="3"/>
  <c r="H659" i="3"/>
  <c r="H660" i="3"/>
  <c r="H661" i="3"/>
  <c r="H662" i="3"/>
  <c r="H663" i="3"/>
  <c r="H664" i="3"/>
  <c r="H665" i="3"/>
  <c r="H666" i="3"/>
  <c r="H667" i="3"/>
  <c r="H668" i="3"/>
  <c r="H669" i="3"/>
  <c r="H670" i="3"/>
  <c r="H671" i="3"/>
  <c r="H672" i="3"/>
  <c r="H673" i="3"/>
  <c r="H674" i="3"/>
  <c r="H675" i="3"/>
  <c r="H676" i="3"/>
  <c r="H677" i="3"/>
  <c r="H678" i="3"/>
  <c r="H679" i="3"/>
  <c r="H680" i="3"/>
  <c r="H681" i="3"/>
  <c r="H682" i="3"/>
  <c r="H683" i="3"/>
  <c r="H684" i="3"/>
  <c r="H685" i="3"/>
  <c r="H686" i="3"/>
  <c r="H687" i="3"/>
  <c r="H688" i="3"/>
  <c r="H689" i="3"/>
  <c r="H690" i="3"/>
  <c r="H691" i="3"/>
  <c r="H692" i="3"/>
  <c r="H693" i="3"/>
  <c r="H694" i="3"/>
  <c r="H695" i="3"/>
  <c r="H696" i="3"/>
  <c r="H697" i="3"/>
  <c r="H698" i="3"/>
  <c r="H699" i="3"/>
  <c r="H700" i="3"/>
  <c r="H701" i="3"/>
  <c r="H702" i="3"/>
  <c r="H703" i="3"/>
  <c r="H704" i="3"/>
  <c r="H705" i="3"/>
  <c r="N2" i="3"/>
  <c r="N3" i="3"/>
  <c r="N4" i="3"/>
  <c r="N5" i="3"/>
  <c r="N6" i="3"/>
  <c r="N7" i="3"/>
  <c r="N8" i="3"/>
  <c r="N9" i="3"/>
  <c r="N10" i="3"/>
  <c r="N11" i="3"/>
  <c r="N12" i="3"/>
  <c r="N13" i="3"/>
  <c r="N14" i="3"/>
  <c r="N15" i="3"/>
  <c r="N16" i="3"/>
  <c r="N17" i="3"/>
  <c r="N18" i="3"/>
  <c r="N19" i="3"/>
  <c r="N20" i="3"/>
  <c r="N21" i="3"/>
  <c r="N22" i="3"/>
  <c r="N23" i="3"/>
  <c r="N24" i="3"/>
  <c r="N25" i="3"/>
  <c r="N26" i="3"/>
  <c r="N27" i="3"/>
  <c r="N28" i="3"/>
  <c r="N29" i="3"/>
  <c r="N30" i="3"/>
  <c r="N31" i="3"/>
  <c r="N32" i="3"/>
  <c r="N33" i="3"/>
  <c r="N34" i="3"/>
  <c r="N35" i="3"/>
  <c r="N36" i="3"/>
  <c r="N37" i="3"/>
  <c r="N38" i="3"/>
  <c r="N39" i="3"/>
  <c r="N40" i="3"/>
  <c r="N41" i="3"/>
  <c r="N42" i="3"/>
  <c r="N43" i="3"/>
  <c r="N44" i="3"/>
  <c r="N45" i="3"/>
  <c r="N46" i="3"/>
  <c r="N47" i="3"/>
  <c r="N48" i="3"/>
  <c r="N49" i="3"/>
  <c r="N50" i="3"/>
  <c r="N51" i="3"/>
  <c r="N52" i="3"/>
  <c r="N53" i="3"/>
  <c r="N54" i="3"/>
  <c r="N55" i="3"/>
  <c r="N56" i="3"/>
  <c r="N57" i="3"/>
  <c r="N58" i="3"/>
  <c r="N59" i="3"/>
  <c r="N60" i="3"/>
  <c r="N61" i="3"/>
  <c r="N62" i="3"/>
  <c r="N63" i="3"/>
  <c r="N64" i="3"/>
  <c r="N65" i="3"/>
  <c r="N66" i="3"/>
  <c r="N67" i="3"/>
  <c r="N68" i="3"/>
  <c r="N69" i="3"/>
  <c r="N70" i="3"/>
  <c r="N71" i="3"/>
  <c r="N72" i="3"/>
  <c r="N73" i="3"/>
  <c r="N74" i="3"/>
  <c r="N75" i="3"/>
  <c r="N76" i="3"/>
  <c r="N77" i="3"/>
  <c r="N78" i="3"/>
  <c r="N79" i="3"/>
  <c r="N80" i="3"/>
  <c r="N81" i="3"/>
  <c r="N82" i="3"/>
  <c r="N83" i="3"/>
  <c r="N84" i="3"/>
  <c r="N85" i="3"/>
  <c r="N86" i="3"/>
  <c r="N87" i="3"/>
  <c r="N88" i="3"/>
  <c r="N89" i="3"/>
  <c r="N90" i="3"/>
  <c r="N91" i="3"/>
  <c r="N92" i="3"/>
  <c r="N93" i="3"/>
  <c r="N94" i="3"/>
  <c r="N95" i="3"/>
  <c r="N96" i="3"/>
  <c r="N97" i="3"/>
  <c r="N98" i="3"/>
  <c r="N99" i="3"/>
  <c r="N100" i="3"/>
  <c r="N101" i="3"/>
  <c r="N102" i="3"/>
  <c r="N103" i="3"/>
  <c r="N104" i="3"/>
  <c r="N105" i="3"/>
  <c r="N106" i="3"/>
  <c r="N107" i="3"/>
  <c r="N108" i="3"/>
  <c r="N109" i="3"/>
  <c r="N110" i="3"/>
  <c r="N111" i="3"/>
  <c r="N112" i="3"/>
  <c r="N113" i="3"/>
  <c r="N114" i="3"/>
  <c r="N115" i="3"/>
  <c r="N116" i="3"/>
  <c r="N117" i="3"/>
  <c r="N118" i="3"/>
  <c r="N119" i="3"/>
  <c r="N120" i="3"/>
  <c r="N121" i="3"/>
  <c r="N122" i="3"/>
  <c r="N123" i="3"/>
  <c r="N124" i="3"/>
  <c r="N125" i="3"/>
  <c r="N126" i="3"/>
  <c r="N127" i="3"/>
  <c r="N128" i="3"/>
  <c r="N129" i="3"/>
  <c r="N130" i="3"/>
  <c r="N131" i="3"/>
  <c r="N132" i="3"/>
  <c r="N133" i="3"/>
  <c r="N134" i="3"/>
  <c r="N135" i="3"/>
  <c r="N136" i="3"/>
  <c r="N137" i="3"/>
  <c r="N138" i="3"/>
  <c r="N139" i="3"/>
  <c r="N140" i="3"/>
  <c r="N141" i="3"/>
  <c r="N142" i="3"/>
  <c r="N143" i="3"/>
  <c r="N144" i="3"/>
  <c r="N145" i="3"/>
  <c r="N146" i="3"/>
  <c r="N147" i="3"/>
  <c r="N148" i="3"/>
  <c r="N149" i="3"/>
  <c r="N150" i="3"/>
  <c r="N151" i="3"/>
  <c r="N152" i="3"/>
  <c r="N153" i="3"/>
  <c r="N154" i="3"/>
  <c r="N155" i="3"/>
  <c r="N156" i="3"/>
  <c r="N157" i="3"/>
  <c r="N158" i="3"/>
  <c r="N159" i="3"/>
  <c r="N160" i="3"/>
  <c r="N161" i="3"/>
  <c r="N162" i="3"/>
  <c r="N163" i="3"/>
  <c r="N164" i="3"/>
  <c r="N165" i="3"/>
  <c r="N166" i="3"/>
  <c r="N167" i="3"/>
  <c r="N168" i="3"/>
  <c r="N169" i="3"/>
  <c r="N170" i="3"/>
  <c r="N171" i="3"/>
  <c r="N172" i="3"/>
  <c r="N173" i="3"/>
  <c r="N174" i="3"/>
  <c r="N175" i="3"/>
  <c r="N176" i="3"/>
  <c r="N177" i="3"/>
  <c r="N178" i="3"/>
  <c r="N179" i="3"/>
  <c r="N180" i="3"/>
  <c r="N181" i="3"/>
  <c r="N182" i="3"/>
  <c r="N183" i="3"/>
  <c r="N184" i="3"/>
  <c r="N185" i="3"/>
  <c r="N186" i="3"/>
  <c r="N187" i="3"/>
  <c r="N188" i="3"/>
  <c r="N189" i="3"/>
  <c r="N190" i="3"/>
  <c r="N191" i="3"/>
  <c r="N192" i="3"/>
  <c r="N193" i="3"/>
  <c r="N194" i="3"/>
  <c r="N195" i="3"/>
  <c r="N196" i="3"/>
  <c r="N197" i="3"/>
  <c r="N198" i="3"/>
  <c r="N199" i="3"/>
  <c r="N200" i="3"/>
  <c r="N201" i="3"/>
  <c r="N202" i="3"/>
  <c r="N203" i="3"/>
  <c r="N204" i="3"/>
  <c r="N205" i="3"/>
  <c r="N206" i="3"/>
  <c r="N207" i="3"/>
  <c r="N208" i="3"/>
  <c r="N209" i="3"/>
  <c r="N210" i="3"/>
  <c r="N211" i="3"/>
  <c r="N212" i="3"/>
  <c r="N213" i="3"/>
  <c r="N214" i="3"/>
  <c r="N215" i="3"/>
  <c r="N216" i="3"/>
  <c r="N217" i="3"/>
  <c r="N218" i="3"/>
  <c r="N219" i="3"/>
  <c r="N220" i="3"/>
  <c r="N221" i="3"/>
  <c r="N222" i="3"/>
  <c r="N223" i="3"/>
  <c r="N224" i="3"/>
  <c r="N225" i="3"/>
  <c r="N226" i="3"/>
  <c r="N227" i="3"/>
  <c r="N228" i="3"/>
  <c r="N229" i="3"/>
  <c r="N230" i="3"/>
  <c r="N231" i="3"/>
  <c r="N232" i="3"/>
  <c r="N233" i="3"/>
  <c r="N234" i="3"/>
  <c r="N235" i="3"/>
  <c r="N236" i="3"/>
  <c r="N237" i="3"/>
  <c r="N238" i="3"/>
  <c r="N239" i="3"/>
  <c r="N240" i="3"/>
  <c r="N241" i="3"/>
  <c r="N242" i="3"/>
  <c r="N243" i="3"/>
  <c r="N244" i="3"/>
  <c r="N245" i="3"/>
  <c r="N246" i="3"/>
  <c r="N247" i="3"/>
  <c r="N248" i="3"/>
  <c r="N249" i="3"/>
  <c r="N250" i="3"/>
  <c r="N251" i="3"/>
  <c r="N252" i="3"/>
  <c r="N253" i="3"/>
  <c r="N254" i="3"/>
  <c r="N255" i="3"/>
  <c r="N256" i="3"/>
  <c r="N257" i="3"/>
  <c r="N258" i="3"/>
  <c r="N259" i="3"/>
  <c r="N260" i="3"/>
  <c r="N261" i="3"/>
  <c r="N262" i="3"/>
  <c r="N263" i="3"/>
  <c r="N264" i="3"/>
  <c r="N265" i="3"/>
  <c r="N266" i="3"/>
  <c r="N267" i="3"/>
  <c r="N268" i="3"/>
  <c r="N269" i="3"/>
  <c r="N270" i="3"/>
  <c r="N271" i="3"/>
  <c r="N272" i="3"/>
  <c r="N273" i="3"/>
  <c r="N274" i="3"/>
  <c r="N275" i="3"/>
  <c r="N276" i="3"/>
  <c r="N277" i="3"/>
  <c r="N278" i="3"/>
  <c r="N279" i="3"/>
  <c r="N280" i="3"/>
  <c r="N281" i="3"/>
  <c r="N282" i="3"/>
  <c r="N283" i="3"/>
  <c r="N284" i="3"/>
  <c r="N285" i="3"/>
  <c r="N286" i="3"/>
  <c r="N287" i="3"/>
  <c r="N288" i="3"/>
  <c r="N289" i="3"/>
  <c r="N290" i="3"/>
  <c r="N291" i="3"/>
  <c r="N292" i="3"/>
  <c r="N293" i="3"/>
  <c r="N294" i="3"/>
  <c r="N295" i="3"/>
  <c r="N296" i="3"/>
  <c r="N297" i="3"/>
  <c r="N298" i="3"/>
  <c r="N299" i="3"/>
  <c r="N300" i="3"/>
  <c r="N301" i="3"/>
  <c r="N302" i="3"/>
  <c r="N303" i="3"/>
  <c r="N304" i="3"/>
  <c r="N305" i="3"/>
  <c r="N306" i="3"/>
  <c r="N307" i="3"/>
  <c r="N308" i="3"/>
  <c r="N309" i="3"/>
  <c r="N310" i="3"/>
  <c r="N311" i="3"/>
  <c r="N312" i="3"/>
  <c r="N313" i="3"/>
  <c r="N314" i="3"/>
  <c r="N315" i="3"/>
  <c r="N316" i="3"/>
  <c r="N317" i="3"/>
  <c r="N318" i="3"/>
  <c r="N319" i="3"/>
  <c r="N320" i="3"/>
  <c r="N321" i="3"/>
  <c r="N322" i="3"/>
  <c r="N323" i="3"/>
  <c r="N324" i="3"/>
  <c r="N325" i="3"/>
  <c r="N326" i="3"/>
  <c r="N327" i="3"/>
  <c r="N328" i="3"/>
  <c r="N329" i="3"/>
  <c r="N330" i="3"/>
  <c r="N331" i="3"/>
  <c r="N332" i="3"/>
  <c r="N333" i="3"/>
  <c r="N334" i="3"/>
  <c r="N335" i="3"/>
  <c r="N336" i="3"/>
  <c r="N337" i="3"/>
  <c r="N338" i="3"/>
  <c r="N339" i="3"/>
  <c r="N340" i="3"/>
  <c r="N341" i="3"/>
  <c r="N342" i="3"/>
  <c r="N343" i="3"/>
  <c r="N344" i="3"/>
  <c r="N345" i="3"/>
  <c r="N346" i="3"/>
  <c r="N347" i="3"/>
  <c r="N348" i="3"/>
  <c r="N349" i="3"/>
  <c r="N350" i="3"/>
  <c r="N351" i="3"/>
  <c r="N352" i="3"/>
  <c r="N353" i="3"/>
  <c r="N354" i="3"/>
  <c r="N355" i="3"/>
  <c r="N356" i="3"/>
  <c r="N357" i="3"/>
  <c r="N358" i="3"/>
  <c r="N359" i="3"/>
  <c r="N360" i="3"/>
  <c r="N361" i="3"/>
  <c r="N362" i="3"/>
  <c r="N363" i="3"/>
  <c r="N364" i="3"/>
  <c r="N365" i="3"/>
  <c r="N366" i="3"/>
  <c r="N367" i="3"/>
  <c r="N368" i="3"/>
  <c r="N369" i="3"/>
  <c r="N370" i="3"/>
  <c r="N371" i="3"/>
  <c r="N372" i="3"/>
  <c r="N373" i="3"/>
  <c r="N374" i="3"/>
  <c r="N375" i="3"/>
  <c r="N376" i="3"/>
  <c r="N377" i="3"/>
  <c r="N378" i="3"/>
  <c r="N379" i="3"/>
  <c r="N380" i="3"/>
  <c r="N381" i="3"/>
  <c r="N382" i="3"/>
  <c r="N383" i="3"/>
  <c r="N384" i="3"/>
  <c r="N385" i="3"/>
  <c r="N386" i="3"/>
  <c r="N387" i="3"/>
  <c r="N388" i="3"/>
  <c r="N389" i="3"/>
  <c r="N390" i="3"/>
  <c r="N391" i="3"/>
  <c r="N392" i="3"/>
  <c r="N393" i="3"/>
  <c r="N394" i="3"/>
  <c r="N395" i="3"/>
  <c r="N396" i="3"/>
  <c r="N397" i="3"/>
  <c r="N398" i="3"/>
  <c r="N399" i="3"/>
  <c r="N400" i="3"/>
  <c r="N401" i="3"/>
  <c r="N402" i="3"/>
  <c r="N403" i="3"/>
  <c r="N404" i="3"/>
  <c r="N405" i="3"/>
  <c r="N406" i="3"/>
  <c r="N407" i="3"/>
  <c r="N408" i="3"/>
  <c r="N409" i="3"/>
  <c r="N410" i="3"/>
  <c r="N411" i="3"/>
  <c r="N412" i="3"/>
  <c r="N413" i="3"/>
  <c r="N414" i="3"/>
  <c r="N415" i="3"/>
  <c r="N416" i="3"/>
  <c r="N417" i="3"/>
  <c r="N418" i="3"/>
  <c r="N419" i="3"/>
  <c r="N420" i="3"/>
  <c r="N421" i="3"/>
  <c r="N422" i="3"/>
  <c r="N423" i="3"/>
  <c r="N424" i="3"/>
  <c r="N425" i="3"/>
  <c r="N426" i="3"/>
  <c r="N427" i="3"/>
  <c r="N428" i="3"/>
  <c r="N429" i="3"/>
  <c r="N430" i="3"/>
  <c r="N431" i="3"/>
  <c r="N432" i="3"/>
  <c r="N433" i="3"/>
  <c r="N434" i="3"/>
  <c r="N435" i="3"/>
  <c r="N436" i="3"/>
  <c r="N437" i="3"/>
  <c r="N438" i="3"/>
  <c r="N439" i="3"/>
  <c r="N440" i="3"/>
  <c r="N441" i="3"/>
  <c r="N442" i="3"/>
  <c r="N443" i="3"/>
  <c r="N444" i="3"/>
  <c r="N445" i="3"/>
  <c r="N446" i="3"/>
  <c r="N447" i="3"/>
  <c r="N448" i="3"/>
  <c r="N449" i="3"/>
  <c r="N450" i="3"/>
  <c r="N451" i="3"/>
  <c r="N452" i="3"/>
  <c r="N453" i="3"/>
  <c r="N454" i="3"/>
  <c r="N455" i="3"/>
  <c r="N456" i="3"/>
  <c r="N457" i="3"/>
  <c r="N458" i="3"/>
  <c r="N459" i="3"/>
  <c r="N460" i="3"/>
  <c r="N461" i="3"/>
  <c r="N462" i="3"/>
  <c r="N463" i="3"/>
  <c r="N464" i="3"/>
  <c r="N465" i="3"/>
  <c r="N466" i="3"/>
  <c r="N467" i="3"/>
  <c r="N468" i="3"/>
  <c r="N469" i="3"/>
  <c r="N470" i="3"/>
  <c r="N471" i="3"/>
  <c r="N472" i="3"/>
  <c r="N473" i="3"/>
  <c r="N474" i="3"/>
  <c r="N475" i="3"/>
  <c r="N476" i="3"/>
  <c r="N477" i="3"/>
  <c r="N478" i="3"/>
  <c r="N479" i="3"/>
  <c r="N480" i="3"/>
  <c r="N481" i="3"/>
  <c r="N482" i="3"/>
  <c r="N483" i="3"/>
  <c r="N484" i="3"/>
  <c r="N485" i="3"/>
  <c r="N486" i="3"/>
  <c r="N487" i="3"/>
  <c r="N488" i="3"/>
  <c r="N489" i="3"/>
  <c r="N490" i="3"/>
  <c r="N491" i="3"/>
  <c r="N492" i="3"/>
  <c r="N493" i="3"/>
  <c r="N494" i="3"/>
  <c r="N495" i="3"/>
  <c r="N496" i="3"/>
  <c r="N497" i="3"/>
  <c r="N498" i="3"/>
  <c r="N499" i="3"/>
  <c r="N500" i="3"/>
  <c r="N501" i="3"/>
  <c r="N502" i="3"/>
  <c r="N503" i="3"/>
  <c r="N504" i="3"/>
  <c r="N505" i="3"/>
  <c r="N506" i="3"/>
  <c r="N507" i="3"/>
  <c r="N508" i="3"/>
  <c r="N509" i="3"/>
  <c r="N510" i="3"/>
  <c r="N511" i="3"/>
  <c r="N512" i="3"/>
  <c r="N513" i="3"/>
  <c r="N514" i="3"/>
  <c r="N515" i="3"/>
  <c r="N516" i="3"/>
  <c r="N517" i="3"/>
  <c r="N518" i="3"/>
  <c r="N519" i="3"/>
  <c r="N520" i="3"/>
  <c r="N521" i="3"/>
  <c r="N522" i="3"/>
  <c r="N523" i="3"/>
  <c r="N524" i="3"/>
  <c r="N525" i="3"/>
  <c r="N526" i="3"/>
  <c r="N527" i="3"/>
  <c r="N528" i="3"/>
  <c r="N529" i="3"/>
  <c r="N530" i="3"/>
  <c r="N531" i="3"/>
  <c r="N532" i="3"/>
  <c r="N533" i="3"/>
  <c r="N534" i="3"/>
  <c r="N535" i="3"/>
  <c r="N536" i="3"/>
  <c r="N537" i="3"/>
  <c r="N538" i="3"/>
  <c r="N539" i="3"/>
  <c r="N540" i="3"/>
  <c r="N541" i="3"/>
  <c r="N542" i="3"/>
  <c r="N543" i="3"/>
  <c r="N544" i="3"/>
  <c r="N545" i="3"/>
  <c r="N546" i="3"/>
  <c r="N547" i="3"/>
  <c r="N548" i="3"/>
  <c r="N549" i="3"/>
  <c r="N550" i="3"/>
  <c r="N551" i="3"/>
  <c r="N552" i="3"/>
  <c r="N553" i="3"/>
  <c r="N554" i="3"/>
  <c r="N555" i="3"/>
  <c r="N556" i="3"/>
  <c r="N557" i="3"/>
  <c r="N558" i="3"/>
  <c r="N559" i="3"/>
  <c r="N560" i="3"/>
  <c r="N561" i="3"/>
  <c r="N562" i="3"/>
  <c r="N563" i="3"/>
  <c r="N564" i="3"/>
  <c r="N565" i="3"/>
  <c r="N566" i="3"/>
  <c r="N567" i="3"/>
  <c r="N568" i="3"/>
  <c r="N569" i="3"/>
  <c r="N570" i="3"/>
  <c r="N571" i="3"/>
  <c r="N572" i="3"/>
  <c r="N573" i="3"/>
  <c r="N574" i="3"/>
  <c r="N575" i="3"/>
  <c r="N576" i="3"/>
  <c r="N577" i="3"/>
  <c r="N578" i="3"/>
  <c r="N579" i="3"/>
  <c r="N580" i="3"/>
  <c r="N581" i="3"/>
  <c r="N582" i="3"/>
  <c r="N583" i="3"/>
  <c r="N584" i="3"/>
  <c r="N585" i="3"/>
  <c r="N586" i="3"/>
  <c r="N587" i="3"/>
  <c r="N588" i="3"/>
  <c r="N589" i="3"/>
  <c r="N590" i="3"/>
  <c r="N591" i="3"/>
  <c r="N592" i="3"/>
  <c r="N593" i="3"/>
  <c r="N594" i="3"/>
  <c r="N595" i="3"/>
  <c r="N596" i="3"/>
  <c r="N597" i="3"/>
  <c r="N598" i="3"/>
  <c r="N599" i="3"/>
  <c r="N600" i="3"/>
  <c r="N601" i="3"/>
  <c r="N602" i="3"/>
  <c r="N603" i="3"/>
  <c r="N604" i="3"/>
  <c r="N605" i="3"/>
  <c r="N606" i="3"/>
  <c r="N607" i="3"/>
  <c r="N608" i="3"/>
  <c r="N609" i="3"/>
  <c r="N610" i="3"/>
  <c r="N611" i="3"/>
  <c r="N612" i="3"/>
  <c r="N613" i="3"/>
  <c r="N614" i="3"/>
  <c r="N615" i="3"/>
  <c r="N616" i="3"/>
  <c r="N617" i="3"/>
  <c r="N618" i="3"/>
  <c r="N619" i="3"/>
  <c r="N620" i="3"/>
  <c r="N621" i="3"/>
  <c r="N622" i="3"/>
  <c r="N623" i="3"/>
  <c r="N624" i="3"/>
  <c r="N625" i="3"/>
  <c r="N626" i="3"/>
  <c r="N627" i="3"/>
  <c r="N628" i="3"/>
  <c r="N629" i="3"/>
  <c r="N630" i="3"/>
  <c r="N631" i="3"/>
  <c r="N632" i="3"/>
  <c r="N633" i="3"/>
  <c r="N634" i="3"/>
  <c r="N635" i="3"/>
  <c r="N636" i="3"/>
  <c r="N637" i="3"/>
  <c r="N638" i="3"/>
  <c r="N639" i="3"/>
  <c r="N640" i="3"/>
  <c r="N641" i="3"/>
  <c r="N642" i="3"/>
  <c r="N643" i="3"/>
  <c r="N644" i="3"/>
  <c r="N645" i="3"/>
  <c r="N646" i="3"/>
  <c r="N647" i="3"/>
  <c r="N648" i="3"/>
  <c r="N649" i="3"/>
  <c r="N650" i="3"/>
  <c r="N651" i="3"/>
  <c r="N652" i="3"/>
  <c r="N653" i="3"/>
  <c r="N654" i="3"/>
  <c r="N655" i="3"/>
  <c r="N656" i="3"/>
  <c r="N657" i="3"/>
  <c r="N658" i="3"/>
  <c r="N659" i="3"/>
  <c r="N660" i="3"/>
  <c r="N661" i="3"/>
  <c r="N662" i="3"/>
  <c r="N663" i="3"/>
  <c r="N664" i="3"/>
  <c r="N665" i="3"/>
  <c r="N666" i="3"/>
  <c r="N667" i="3"/>
  <c r="N668" i="3"/>
  <c r="N669" i="3"/>
  <c r="N670" i="3"/>
  <c r="N671" i="3"/>
  <c r="N672" i="3"/>
  <c r="N673" i="3"/>
  <c r="N674" i="3"/>
  <c r="N675" i="3"/>
  <c r="N676" i="3"/>
  <c r="N677" i="3"/>
  <c r="N678" i="3"/>
  <c r="N679" i="3"/>
  <c r="N680" i="3"/>
  <c r="N681" i="3"/>
  <c r="N682" i="3"/>
  <c r="N683" i="3"/>
  <c r="N684" i="3"/>
  <c r="N685" i="3"/>
  <c r="N686" i="3"/>
  <c r="N687" i="3"/>
  <c r="N688" i="3"/>
  <c r="N689" i="3"/>
  <c r="N690" i="3"/>
  <c r="N691" i="3"/>
  <c r="N692" i="3"/>
  <c r="N693" i="3"/>
  <c r="N694" i="3"/>
  <c r="N695" i="3"/>
  <c r="N696" i="3"/>
  <c r="N697" i="3"/>
  <c r="N698" i="3"/>
  <c r="N699" i="3"/>
  <c r="N700" i="3"/>
  <c r="N701" i="3"/>
  <c r="N702" i="3"/>
  <c r="N703" i="3"/>
  <c r="N704" i="3"/>
  <c r="N705" i="3"/>
  <c r="Q705" i="3"/>
  <c r="Q704" i="3"/>
  <c r="Q702" i="3"/>
  <c r="Q701" i="3"/>
  <c r="Q700" i="3"/>
  <c r="Q697" i="3"/>
  <c r="Q695" i="3"/>
  <c r="Q694" i="3"/>
  <c r="Q692" i="3"/>
  <c r="Q691" i="3"/>
  <c r="Q689" i="3"/>
  <c r="Q688" i="3"/>
  <c r="Q687" i="3"/>
  <c r="Q685" i="3"/>
  <c r="Q684" i="3"/>
  <c r="Q683" i="3"/>
  <c r="Q680" i="3"/>
  <c r="Q678" i="3"/>
  <c r="Q677" i="3"/>
  <c r="Q675" i="3"/>
  <c r="Q674" i="3"/>
  <c r="Q672" i="3"/>
  <c r="Q671" i="3"/>
  <c r="Q670" i="3"/>
  <c r="Q668" i="3"/>
  <c r="Q667" i="3"/>
  <c r="Q666" i="3"/>
  <c r="Q663" i="3"/>
  <c r="Q661" i="3"/>
  <c r="Q660" i="3"/>
  <c r="Q658" i="3"/>
  <c r="Q657" i="3"/>
  <c r="Q655" i="3"/>
  <c r="Q654" i="3"/>
  <c r="Q653" i="3"/>
  <c r="Q651" i="3"/>
  <c r="Q650" i="3"/>
  <c r="Q649" i="3"/>
  <c r="Q646" i="3"/>
  <c r="Q644" i="3"/>
  <c r="Q643" i="3"/>
  <c r="Q641" i="3"/>
  <c r="Q640" i="3"/>
  <c r="Q638" i="3"/>
  <c r="Q637" i="3"/>
  <c r="Q636" i="3"/>
  <c r="Q634" i="3"/>
  <c r="Q633" i="3"/>
  <c r="Q632" i="3"/>
  <c r="Q629" i="3"/>
  <c r="Q627" i="3"/>
  <c r="Q626" i="3"/>
  <c r="Q624" i="3"/>
  <c r="Q623" i="3"/>
  <c r="Q621" i="3"/>
  <c r="Q620" i="3"/>
  <c r="Q619" i="3"/>
  <c r="Q617" i="3"/>
  <c r="Q616" i="3"/>
  <c r="Q615" i="3"/>
  <c r="Q612" i="3"/>
  <c r="Q610" i="3"/>
  <c r="Q609" i="3"/>
  <c r="Q607" i="3"/>
  <c r="Q606" i="3"/>
  <c r="Q604" i="3"/>
  <c r="Q603" i="3"/>
  <c r="Q602" i="3"/>
  <c r="Q600" i="3"/>
  <c r="Q599" i="3"/>
  <c r="Q598" i="3"/>
  <c r="Q595" i="3"/>
  <c r="Q593" i="3"/>
  <c r="Q592" i="3"/>
  <c r="Q590" i="3"/>
  <c r="Q589" i="3"/>
  <c r="Q587" i="3"/>
  <c r="Q586" i="3"/>
  <c r="Q585" i="3"/>
  <c r="Q583" i="3"/>
  <c r="Q582" i="3"/>
  <c r="Q581" i="3"/>
  <c r="Q578" i="3"/>
  <c r="Q576" i="3"/>
  <c r="Q575" i="3"/>
  <c r="Q573" i="3"/>
  <c r="Q572" i="3"/>
  <c r="Q568" i="3"/>
  <c r="Q567" i="3"/>
  <c r="Q566" i="3"/>
  <c r="Q565" i="3"/>
  <c r="Q564" i="3"/>
  <c r="Q563" i="3"/>
  <c r="Q561" i="3"/>
  <c r="Q558" i="3"/>
  <c r="Q557" i="3"/>
  <c r="Q556" i="3"/>
  <c r="Q555" i="3"/>
  <c r="Q554" i="3"/>
  <c r="Q553" i="3"/>
  <c r="Q551" i="3"/>
  <c r="Q548" i="3"/>
  <c r="Q547" i="3"/>
  <c r="Q546" i="3"/>
  <c r="Q545" i="3"/>
  <c r="Q544" i="3"/>
  <c r="Q543" i="3"/>
  <c r="Q541" i="3"/>
  <c r="Q538" i="3"/>
  <c r="Q537" i="3"/>
  <c r="Q536" i="3"/>
  <c r="Q535" i="3"/>
  <c r="Q534" i="3"/>
  <c r="Q533" i="3"/>
  <c r="Q531" i="3"/>
  <c r="Q528" i="3"/>
  <c r="Q527" i="3"/>
  <c r="Q526" i="3"/>
  <c r="Q525" i="3"/>
  <c r="Q524" i="3"/>
  <c r="Q523" i="3"/>
  <c r="Q521" i="3"/>
  <c r="Q518" i="3"/>
  <c r="Q517" i="3"/>
  <c r="Q516" i="3"/>
  <c r="Q515" i="3"/>
  <c r="Q514" i="3"/>
  <c r="Q513" i="3"/>
  <c r="Q511" i="3"/>
  <c r="Q508" i="3"/>
  <c r="Q507" i="3"/>
  <c r="Q506" i="3"/>
  <c r="Q505" i="3"/>
  <c r="Q504" i="3"/>
  <c r="Q503" i="3"/>
  <c r="Q501" i="3"/>
  <c r="Q498" i="3"/>
  <c r="Q496" i="3"/>
  <c r="Q495" i="3"/>
  <c r="Q493" i="3"/>
  <c r="Q492" i="3"/>
  <c r="Q488" i="3"/>
  <c r="Q486" i="3"/>
  <c r="Q485" i="3"/>
  <c r="Q483" i="3"/>
  <c r="Q482" i="3"/>
  <c r="Q478" i="3"/>
  <c r="Q476" i="3"/>
  <c r="Q475" i="3"/>
  <c r="Q473" i="3"/>
  <c r="Q472" i="3"/>
  <c r="Q468" i="3"/>
  <c r="Q466" i="3"/>
  <c r="Q465" i="3"/>
  <c r="Q463" i="3"/>
  <c r="Q462" i="3"/>
  <c r="Q458" i="3"/>
  <c r="Q456" i="3"/>
  <c r="Q455" i="3"/>
  <c r="Q453" i="3"/>
  <c r="Q452" i="3"/>
  <c r="Q448" i="3"/>
  <c r="Q446" i="3"/>
  <c r="Q445" i="3"/>
  <c r="Q443" i="3"/>
  <c r="Q442" i="3"/>
  <c r="Q438" i="3"/>
  <c r="Q436" i="3"/>
  <c r="Q435" i="3"/>
  <c r="Q433" i="3"/>
  <c r="Q432" i="3"/>
  <c r="Q428" i="3"/>
  <c r="Q426" i="3"/>
  <c r="Q425" i="3"/>
  <c r="Q423" i="3"/>
  <c r="Q422" i="3"/>
  <c r="Q418" i="3"/>
  <c r="Q416" i="3"/>
  <c r="Q415" i="3"/>
  <c r="Q413" i="3"/>
  <c r="Q412" i="3"/>
  <c r="Q408" i="3"/>
  <c r="Q406" i="3"/>
  <c r="Q405" i="3"/>
  <c r="Q403" i="3"/>
  <c r="Q402" i="3"/>
  <c r="Q398" i="3"/>
  <c r="Q396" i="3"/>
  <c r="Q395" i="3"/>
  <c r="Q393" i="3"/>
  <c r="Q392" i="3"/>
  <c r="Q388" i="3"/>
  <c r="Q386" i="3"/>
  <c r="Q385" i="3"/>
  <c r="Q383" i="3"/>
  <c r="Q382" i="3"/>
  <c r="Q378" i="3"/>
  <c r="Q376" i="3"/>
  <c r="Q375" i="3"/>
  <c r="Q373" i="3"/>
  <c r="Q372" i="3"/>
  <c r="Q368" i="3"/>
  <c r="Q366" i="3"/>
  <c r="Q365" i="3"/>
  <c r="Q363" i="3"/>
  <c r="Q362" i="3"/>
  <c r="Q358" i="3"/>
  <c r="Q356" i="3"/>
  <c r="Q355" i="3"/>
  <c r="Q353" i="3"/>
  <c r="Q352" i="3"/>
  <c r="Q348" i="3"/>
  <c r="Q346" i="3"/>
  <c r="Q345" i="3"/>
  <c r="Q343" i="3"/>
  <c r="Q342" i="3"/>
  <c r="Q338" i="3"/>
  <c r="Q336" i="3"/>
  <c r="Q335" i="3"/>
  <c r="Q333" i="3"/>
  <c r="Q332" i="3"/>
  <c r="Q328" i="3"/>
  <c r="Q326" i="3"/>
  <c r="Q325" i="3"/>
  <c r="Q323" i="3"/>
  <c r="Q322" i="3"/>
  <c r="Q320" i="3"/>
  <c r="Q319" i="3"/>
  <c r="Q318" i="3"/>
  <c r="Q314" i="3"/>
  <c r="Q312" i="3"/>
  <c r="Q311" i="3"/>
  <c r="Q310" i="3"/>
  <c r="Q306" i="3"/>
  <c r="Q304" i="3"/>
  <c r="Q303" i="3"/>
  <c r="Q302" i="3"/>
  <c r="Q298" i="3"/>
  <c r="Q296" i="3"/>
  <c r="Q295" i="3"/>
  <c r="Q294" i="3"/>
  <c r="Q290" i="3"/>
  <c r="Q288" i="3"/>
  <c r="Q287" i="3"/>
  <c r="Q286" i="3"/>
  <c r="Q282" i="3"/>
  <c r="Q280" i="3"/>
  <c r="Q279" i="3"/>
  <c r="Q278" i="3"/>
  <c r="Q274" i="3"/>
  <c r="Q272" i="3"/>
  <c r="Q271" i="3"/>
  <c r="Q270" i="3"/>
  <c r="Q266" i="3"/>
  <c r="Q264" i="3"/>
  <c r="Q263" i="3"/>
  <c r="Q262" i="3"/>
  <c r="Q258" i="3"/>
  <c r="Q256" i="3"/>
  <c r="Q255" i="3"/>
  <c r="Q254" i="3"/>
  <c r="Q250" i="3"/>
  <c r="Q248" i="3"/>
  <c r="Q247" i="3"/>
  <c r="Q246" i="3"/>
  <c r="Q242" i="3"/>
  <c r="Q240" i="3"/>
  <c r="Q239" i="3"/>
  <c r="Q238" i="3"/>
  <c r="Q234" i="3"/>
  <c r="Q232" i="3"/>
  <c r="Q231" i="3"/>
  <c r="Q230" i="3"/>
  <c r="Q226" i="3"/>
  <c r="Q224" i="3"/>
  <c r="Q223" i="3"/>
  <c r="Q222" i="3"/>
  <c r="Q220" i="3"/>
  <c r="Q219" i="3"/>
  <c r="Q218" i="3"/>
  <c r="Q217" i="3"/>
  <c r="Q215" i="3"/>
  <c r="Q214" i="3"/>
  <c r="Q213" i="3"/>
  <c r="Q212" i="3"/>
  <c r="Q211" i="3"/>
  <c r="Q209" i="3"/>
  <c r="Q208" i="3"/>
  <c r="Q207" i="3"/>
  <c r="Q206" i="3"/>
  <c r="Q205" i="3"/>
  <c r="Q203" i="3"/>
  <c r="Q202" i="3"/>
  <c r="Q201" i="3"/>
  <c r="Q200" i="3"/>
  <c r="Q199" i="3"/>
  <c r="Q197" i="3"/>
  <c r="Q196" i="3"/>
  <c r="Q195" i="3"/>
  <c r="Q194" i="3"/>
  <c r="Q193" i="3"/>
  <c r="Q191" i="3"/>
  <c r="Q190" i="3"/>
  <c r="Q189" i="3"/>
  <c r="Q188" i="3"/>
  <c r="Q187" i="3"/>
  <c r="Q185" i="3"/>
  <c r="Q184" i="3"/>
  <c r="Q183" i="3"/>
  <c r="Q182" i="3"/>
  <c r="Q181" i="3"/>
  <c r="Q179" i="3"/>
  <c r="Q178" i="3"/>
  <c r="Q177" i="3"/>
  <c r="Q176" i="3"/>
  <c r="Q175" i="3"/>
  <c r="Q173" i="3"/>
  <c r="Q172" i="3"/>
  <c r="Q171" i="3"/>
  <c r="Q170" i="3"/>
  <c r="Q169" i="3"/>
  <c r="Q167" i="3"/>
  <c r="Q166" i="3"/>
  <c r="Q165" i="3"/>
  <c r="Q164" i="3"/>
  <c r="Q163" i="3"/>
  <c r="Q161" i="3"/>
  <c r="Q159" i="3"/>
  <c r="Q158" i="3"/>
  <c r="Q157" i="3"/>
  <c r="Q156" i="3"/>
  <c r="Q155" i="3"/>
  <c r="Q153" i="3"/>
  <c r="Q152" i="3"/>
  <c r="Q151" i="3"/>
  <c r="Q150" i="3"/>
  <c r="Q149" i="3"/>
  <c r="Q147" i="3"/>
  <c r="Q146" i="3"/>
  <c r="Q145" i="3"/>
  <c r="Q144" i="3"/>
  <c r="Q143" i="3"/>
  <c r="Q141" i="3"/>
  <c r="Q140" i="3"/>
  <c r="Q139" i="3"/>
  <c r="Q138" i="3"/>
  <c r="Q137" i="3"/>
  <c r="Q135" i="3"/>
  <c r="Q134" i="3"/>
  <c r="Q133" i="3"/>
  <c r="Q132" i="3"/>
  <c r="Q131" i="3"/>
  <c r="Q129" i="3"/>
  <c r="Q128" i="3"/>
  <c r="Q127" i="3"/>
  <c r="Q126" i="3"/>
  <c r="Q125" i="3"/>
  <c r="Q123" i="3"/>
  <c r="Q122" i="3"/>
  <c r="Q121" i="3"/>
  <c r="Q120" i="3"/>
  <c r="Q119" i="3"/>
  <c r="Q117" i="3"/>
  <c r="Q116" i="3"/>
  <c r="Q115" i="3"/>
  <c r="Q114" i="3"/>
  <c r="Q113" i="3"/>
  <c r="Q111" i="3"/>
  <c r="Q110" i="3"/>
  <c r="Q107" i="3"/>
  <c r="Q106" i="3"/>
  <c r="Q104" i="3"/>
  <c r="Q103" i="3"/>
  <c r="Q100" i="3"/>
  <c r="Q99" i="3"/>
  <c r="Q96" i="3"/>
  <c r="Q94" i="3"/>
  <c r="Q91" i="3"/>
  <c r="Q90" i="3"/>
  <c r="Q87" i="3"/>
  <c r="Q82" i="3"/>
  <c r="Q79" i="3"/>
  <c r="Q78" i="3"/>
  <c r="Q74" i="3"/>
  <c r="Q72" i="3"/>
  <c r="Q68" i="3"/>
  <c r="Q66" i="3"/>
  <c r="Q62" i="3"/>
  <c r="Q61" i="3"/>
  <c r="Q60" i="3"/>
  <c r="Q57" i="3"/>
  <c r="Q55" i="3"/>
  <c r="Q54" i="3"/>
  <c r="Q52" i="3"/>
  <c r="Q51" i="3"/>
  <c r="Q49" i="3"/>
  <c r="Q48" i="3"/>
  <c r="Q47" i="3"/>
  <c r="Q45" i="3"/>
  <c r="Q43" i="3"/>
  <c r="Q40" i="3"/>
  <c r="Q38" i="3"/>
  <c r="Q37" i="3"/>
  <c r="Q35" i="3"/>
  <c r="Q31" i="3"/>
  <c r="Q28" i="3"/>
  <c r="Q27" i="3"/>
  <c r="Q25" i="3"/>
  <c r="Q24" i="3"/>
  <c r="Q21" i="3"/>
  <c r="Q19" i="3"/>
  <c r="Q18" i="3"/>
  <c r="Q15" i="3"/>
  <c r="Q14" i="3"/>
  <c r="Q10" i="3"/>
  <c r="Q9" i="3"/>
  <c r="Q4" i="3"/>
  <c r="Q2" i="3"/>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3B637D6E-32B4-45D3-A9AA-C117C6D4F70C}" keepAlive="1" name="Query - Students Social Media Addiction" description="Connection to the 'Students Social Media Addiction' query in the workbook." type="5" refreshedVersion="8" background="1" saveData="1">
    <dbPr connection="Provider=Microsoft.Mashup.OleDb.1;Data Source=$Workbook$;Location=&quot;Students Social Media Addiction&quot;;Extended Properties=&quot;&quot;" command="SELECT * FROM [Students Social Media Addiction]"/>
  </connection>
  <connection id="2" xr16:uid="{CBE8C701-1098-49EF-B595-FA838FC6118A}" keepAlive="1" name="Query - Students Social Media Addiction cleaned" description="Connection to the 'Students Social Media Addiction cleaned' query in the workbook." type="5" refreshedVersion="8" background="1" saveData="1">
    <dbPr connection="Provider=Microsoft.Mashup.OleDb.1;Data Source=$Workbook$;Location=&quot;Students Social Media Addiction cleaned&quot;;Extended Properties=&quot;&quot;" command="SELECT * FROM [Students Social Media Addiction cleaned]"/>
  </connection>
</connections>
</file>

<file path=xl/sharedStrings.xml><?xml version="1.0" encoding="utf-8"?>
<sst xmlns="http://schemas.openxmlformats.org/spreadsheetml/2006/main" count="9940" uniqueCount="249">
  <si>
    <t>Student_ID</t>
  </si>
  <si>
    <t>Age</t>
  </si>
  <si>
    <t>Gender</t>
  </si>
  <si>
    <t>Academic_Level</t>
  </si>
  <si>
    <t>Country</t>
  </si>
  <si>
    <t>Avg_Daily_Usage_Hours</t>
  </si>
  <si>
    <t>Most_Used_Platform</t>
  </si>
  <si>
    <t>Affects_Academic_Performance</t>
  </si>
  <si>
    <t>Sleep_Hours_Per_Night</t>
  </si>
  <si>
    <t>Mental_Health_Score</t>
  </si>
  <si>
    <t>Relationship_Status</t>
  </si>
  <si>
    <t>Conflicts_Over_Social_Media</t>
  </si>
  <si>
    <t>Addicted_Score</t>
  </si>
  <si>
    <t>Female</t>
  </si>
  <si>
    <t>Undergraduate</t>
  </si>
  <si>
    <t>Bangladesh</t>
  </si>
  <si>
    <t>5.2</t>
  </si>
  <si>
    <t>Instagram</t>
  </si>
  <si>
    <t>Yes</t>
  </si>
  <si>
    <t>6.5</t>
  </si>
  <si>
    <t>In Relationship</t>
  </si>
  <si>
    <t>Male</t>
  </si>
  <si>
    <t>Graduate</t>
  </si>
  <si>
    <t>India</t>
  </si>
  <si>
    <t>2.1</t>
  </si>
  <si>
    <t>Twitter</t>
  </si>
  <si>
    <t>No</t>
  </si>
  <si>
    <t>7.5</t>
  </si>
  <si>
    <t>Single</t>
  </si>
  <si>
    <t>USA</t>
  </si>
  <si>
    <t>6.0</t>
  </si>
  <si>
    <t>TikTok</t>
  </si>
  <si>
    <t>5.0</t>
  </si>
  <si>
    <t>Complicated</t>
  </si>
  <si>
    <t>High School</t>
  </si>
  <si>
    <t>UK</t>
  </si>
  <si>
    <t>3.0</t>
  </si>
  <si>
    <t>YouTube</t>
  </si>
  <si>
    <t>7.0</t>
  </si>
  <si>
    <t>Canada</t>
  </si>
  <si>
    <t>4.5</t>
  </si>
  <si>
    <t>Facebook</t>
  </si>
  <si>
    <t>Australia</t>
  </si>
  <si>
    <t>7.2</t>
  </si>
  <si>
    <t>Germany</t>
  </si>
  <si>
    <t>1.5</t>
  </si>
  <si>
    <t>LinkedIn</t>
  </si>
  <si>
    <t>8.0</t>
  </si>
  <si>
    <t>Brazil</t>
  </si>
  <si>
    <t>5.8</t>
  </si>
  <si>
    <t>Snapchat</t>
  </si>
  <si>
    <t>Japan</t>
  </si>
  <si>
    <t>4.0</t>
  </si>
  <si>
    <t>South Korea</t>
  </si>
  <si>
    <t>3.3</t>
  </si>
  <si>
    <t>France</t>
  </si>
  <si>
    <t>4.8</t>
  </si>
  <si>
    <t>6.2</t>
  </si>
  <si>
    <t>Spain</t>
  </si>
  <si>
    <t>5.5</t>
  </si>
  <si>
    <t>Italy</t>
  </si>
  <si>
    <t>2.8</t>
  </si>
  <si>
    <t>Mexico</t>
  </si>
  <si>
    <t>Russia</t>
  </si>
  <si>
    <t>3.7</t>
  </si>
  <si>
    <t>6.8</t>
  </si>
  <si>
    <t>China</t>
  </si>
  <si>
    <t>4.2</t>
  </si>
  <si>
    <t>Sweden</t>
  </si>
  <si>
    <t>2.0</t>
  </si>
  <si>
    <t>7.8</t>
  </si>
  <si>
    <t>Norway</t>
  </si>
  <si>
    <t>5.7</t>
  </si>
  <si>
    <t>Denmark</t>
  </si>
  <si>
    <t>3.5</t>
  </si>
  <si>
    <t>6.7</t>
  </si>
  <si>
    <t>Netherlands</t>
  </si>
  <si>
    <t>4.7</t>
  </si>
  <si>
    <t>5.9</t>
  </si>
  <si>
    <t>Belgium</t>
  </si>
  <si>
    <t>5.3</t>
  </si>
  <si>
    <t>Switzerland</t>
  </si>
  <si>
    <t>2.5</t>
  </si>
  <si>
    <t>7.3</t>
  </si>
  <si>
    <t>Austria</t>
  </si>
  <si>
    <t>4.9</t>
  </si>
  <si>
    <t>Portugal</t>
  </si>
  <si>
    <t>5.4</t>
  </si>
  <si>
    <t>Greece</t>
  </si>
  <si>
    <t>3.2</t>
  </si>
  <si>
    <t>6.9</t>
  </si>
  <si>
    <t>Ireland</t>
  </si>
  <si>
    <t>6.1</t>
  </si>
  <si>
    <t>New Zealand</t>
  </si>
  <si>
    <t>3.8</t>
  </si>
  <si>
    <t>6.6</t>
  </si>
  <si>
    <t>Singapore</t>
  </si>
  <si>
    <t>4.4</t>
  </si>
  <si>
    <t>Malaysia</t>
  </si>
  <si>
    <t>2.2</t>
  </si>
  <si>
    <t>7.4</t>
  </si>
  <si>
    <t>Thailand</t>
  </si>
  <si>
    <t>Vietnam</t>
  </si>
  <si>
    <t>3.6</t>
  </si>
  <si>
    <t>Philippines</t>
  </si>
  <si>
    <t>Indonesia</t>
  </si>
  <si>
    <t>Taiwan</t>
  </si>
  <si>
    <t>2.6</t>
  </si>
  <si>
    <t>Hong Kong</t>
  </si>
  <si>
    <t>Turkey</t>
  </si>
  <si>
    <t>5.6</t>
  </si>
  <si>
    <t>Israel</t>
  </si>
  <si>
    <t>3.1</t>
  </si>
  <si>
    <t>UAE</t>
  </si>
  <si>
    <t>5.1</t>
  </si>
  <si>
    <t>Egypt</t>
  </si>
  <si>
    <t>3.9</t>
  </si>
  <si>
    <t>Morocco</t>
  </si>
  <si>
    <t>South Africa</t>
  </si>
  <si>
    <t>2.3</t>
  </si>
  <si>
    <t>Nigeria</t>
  </si>
  <si>
    <t>Kenya</t>
  </si>
  <si>
    <t>Ghana</t>
  </si>
  <si>
    <t>4.6</t>
  </si>
  <si>
    <t>Argentina</t>
  </si>
  <si>
    <t>Chile</t>
  </si>
  <si>
    <t>2.7</t>
  </si>
  <si>
    <t>7.1</t>
  </si>
  <si>
    <t>Colombia</t>
  </si>
  <si>
    <t>Peru</t>
  </si>
  <si>
    <t>Venezuela</t>
  </si>
  <si>
    <t>Ecuador</t>
  </si>
  <si>
    <t>6.3</t>
  </si>
  <si>
    <t>Uruguay</t>
  </si>
  <si>
    <t>6.4</t>
  </si>
  <si>
    <t>Paraguay</t>
  </si>
  <si>
    <t>Bolivia</t>
  </si>
  <si>
    <t>2.4</t>
  </si>
  <si>
    <t>Costa Rica</t>
  </si>
  <si>
    <t>Panama</t>
  </si>
  <si>
    <t>Jamaica</t>
  </si>
  <si>
    <t>Trinidad</t>
  </si>
  <si>
    <t>Bahamas</t>
  </si>
  <si>
    <t>Iceland</t>
  </si>
  <si>
    <t>Finland</t>
  </si>
  <si>
    <t>Poland</t>
  </si>
  <si>
    <t>Romania</t>
  </si>
  <si>
    <t>Hungary</t>
  </si>
  <si>
    <t>Czech Republic</t>
  </si>
  <si>
    <t>Slovakia</t>
  </si>
  <si>
    <t>Croatia</t>
  </si>
  <si>
    <t>Serbia</t>
  </si>
  <si>
    <t>Slovenia</t>
  </si>
  <si>
    <t>Bulgaria</t>
  </si>
  <si>
    <t>Estonia</t>
  </si>
  <si>
    <t>Latvia</t>
  </si>
  <si>
    <t>Lithuania</t>
  </si>
  <si>
    <t>Ukraine</t>
  </si>
  <si>
    <t>Moldova</t>
  </si>
  <si>
    <t>Belarus</t>
  </si>
  <si>
    <t>Kazakhstan</t>
  </si>
  <si>
    <t>Uzbekistan</t>
  </si>
  <si>
    <t>Kyrgyzstan</t>
  </si>
  <si>
    <t>2.9</t>
  </si>
  <si>
    <t>Tajikistan</t>
  </si>
  <si>
    <t>Armenia</t>
  </si>
  <si>
    <t>Georgia</t>
  </si>
  <si>
    <t>Azerbaijan</t>
  </si>
  <si>
    <t>Cyprus</t>
  </si>
  <si>
    <t>Malta</t>
  </si>
  <si>
    <t>Luxembourg</t>
  </si>
  <si>
    <t>Monaco</t>
  </si>
  <si>
    <t>Andorra</t>
  </si>
  <si>
    <t>San Marino</t>
  </si>
  <si>
    <t>Vatican City</t>
  </si>
  <si>
    <t>Liechtenstein</t>
  </si>
  <si>
    <t>Montenegro</t>
  </si>
  <si>
    <t>Albania</t>
  </si>
  <si>
    <t>North Macedonia</t>
  </si>
  <si>
    <t>Kosovo</t>
  </si>
  <si>
    <t>Bosnia</t>
  </si>
  <si>
    <t>Qatar</t>
  </si>
  <si>
    <t>Kuwait</t>
  </si>
  <si>
    <t>Bahrain</t>
  </si>
  <si>
    <t>Oman</t>
  </si>
  <si>
    <t>Jordan</t>
  </si>
  <si>
    <t>Lebanon</t>
  </si>
  <si>
    <t>Iraq</t>
  </si>
  <si>
    <t>Yemen</t>
  </si>
  <si>
    <t>Syria</t>
  </si>
  <si>
    <t>Afghanistan</t>
  </si>
  <si>
    <t>Pakistan</t>
  </si>
  <si>
    <t>Nepal</t>
  </si>
  <si>
    <t>Bhutan</t>
  </si>
  <si>
    <t>Sri Lanka</t>
  </si>
  <si>
    <t>Maldives</t>
  </si>
  <si>
    <t>7.6</t>
  </si>
  <si>
    <t>4.3</t>
  </si>
  <si>
    <t>7.7</t>
  </si>
  <si>
    <t>4.1</t>
  </si>
  <si>
    <t>7.9</t>
  </si>
  <si>
    <t>8.1</t>
  </si>
  <si>
    <t>8.2</t>
  </si>
  <si>
    <t>8.3</t>
  </si>
  <si>
    <t>8.4</t>
  </si>
  <si>
    <t>8.5</t>
  </si>
  <si>
    <t>3.4</t>
  </si>
  <si>
    <t>8.6</t>
  </si>
  <si>
    <t>8.7</t>
  </si>
  <si>
    <t>8.8</t>
  </si>
  <si>
    <t>8.9</t>
  </si>
  <si>
    <t>LINE</t>
  </si>
  <si>
    <t>KakaoTalk</t>
  </si>
  <si>
    <t>VKontakte</t>
  </si>
  <si>
    <t>WhatsApp</t>
  </si>
  <si>
    <t>9.0</t>
  </si>
  <si>
    <t>9.1</t>
  </si>
  <si>
    <t>9.2</t>
  </si>
  <si>
    <t>9.3</t>
  </si>
  <si>
    <t>9.4</t>
  </si>
  <si>
    <t>9.5</t>
  </si>
  <si>
    <t>9.6</t>
  </si>
  <si>
    <t>WeChat</t>
  </si>
  <si>
    <t>Student ID</t>
  </si>
  <si>
    <t>Academic Level</t>
  </si>
  <si>
    <t>Avg Daily Usage Hours</t>
  </si>
  <si>
    <t>Most Used Platform</t>
  </si>
  <si>
    <t>Affects Academic Performance</t>
  </si>
  <si>
    <t>Sleep Hours Per Night</t>
  </si>
  <si>
    <t>Mental Health Score</t>
  </si>
  <si>
    <t>Relationship Status</t>
  </si>
  <si>
    <t>Addicted Score</t>
  </si>
  <si>
    <t>Addiction Level</t>
  </si>
  <si>
    <t>Mental Health Level</t>
  </si>
  <si>
    <t>Age Group</t>
  </si>
  <si>
    <t>Daily Usage Levels</t>
  </si>
  <si>
    <t>Hours of Sleep Categories</t>
  </si>
  <si>
    <t>Row Labels</t>
  </si>
  <si>
    <t>High</t>
  </si>
  <si>
    <t>Low</t>
  </si>
  <si>
    <t>Medium</t>
  </si>
  <si>
    <t>Grand Total</t>
  </si>
  <si>
    <t>Column Labels</t>
  </si>
  <si>
    <t>Sum of Avg Daily Usage Hours</t>
  </si>
  <si>
    <t>Count of Student ID</t>
  </si>
  <si>
    <t>Excessive Sleep</t>
  </si>
  <si>
    <t>Severly Deficient Sleep</t>
  </si>
  <si>
    <t>Sufficient Sleep</t>
  </si>
  <si>
    <t>Student Social Media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</si>
</sst>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Aptos Narrow"/>
      <family val="2"/>
      <scheme val="minor"/>
    </font>
    <font>
      <b/>
      <sz val="22"/>
      <color theme="1"/>
      <name val="Aptos Narrow"/>
      <family val="2"/>
      <scheme val="minor"/>
    </font>
  </fonts>
  <fills count="3">
    <fill>
      <patternFill patternType="none"/>
    </fill>
    <fill>
      <patternFill patternType="gray125"/>
    </fill>
    <fill>
      <patternFill patternType="solid">
        <fgColor theme="8" tint="0.39997558519241921"/>
        <bgColor indexed="64"/>
      </patternFill>
    </fill>
  </fills>
  <borders count="1">
    <border>
      <left/>
      <right/>
      <top/>
      <bottom/>
      <diagonal/>
    </border>
  </borders>
  <cellStyleXfs count="1">
    <xf numFmtId="0" fontId="0" fillId="0" borderId="0"/>
  </cellStyleXfs>
  <cellXfs count="7">
    <xf numFmtId="0" fontId="0" fillId="0" borderId="0" xfId="0"/>
    <xf numFmtId="0" fontId="0" fillId="0" borderId="0" xfId="0" applyAlignment="1">
      <alignment wrapText="1"/>
    </xf>
    <xf numFmtId="0" fontId="0" fillId="0" borderId="0" xfId="0" pivotButton="1"/>
    <xf numFmtId="0" fontId="0" fillId="0" borderId="0" xfId="0" applyAlignment="1">
      <alignment horizontal="left"/>
    </xf>
    <xf numFmtId="0" fontId="0" fillId="0" borderId="0" xfId="0" applyNumberFormat="1"/>
    <xf numFmtId="0" fontId="1" fillId="2" borderId="0" xfId="0" applyFont="1" applyFill="1" applyAlignment="1">
      <alignment horizontal="center"/>
    </xf>
    <xf numFmtId="0" fontId="0" fillId="2" borderId="0" xfId="0" applyFill="1" applyAlignment="1">
      <alignment horizontal="center"/>
    </xf>
  </cellXfs>
  <cellStyles count="1">
    <cellStyle name="Normal" xfId="0" builtinId="0"/>
  </cellStyles>
  <dxfs count="21">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alignment horizontal="general" vertical="bottom" textRotation="0" wrapText="1" indent="0" justifyLastLine="0" shrinkToFit="0" readingOrder="0"/>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13" Type="http://schemas.openxmlformats.org/officeDocument/2006/relationships/styles" Target="styles.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connections" Target="connections.xml"/><Relationship Id="rId17" Type="http://schemas.openxmlformats.org/officeDocument/2006/relationships/customXml" Target="../customXml/item1.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theme" Target="theme/theme1.xml"/><Relationship Id="rId5" Type="http://schemas.openxmlformats.org/officeDocument/2006/relationships/pivotCacheDefinition" Target="pivotCache/pivotCacheDefinition1.xml"/><Relationship Id="rId15" Type="http://schemas.microsoft.com/office/2017/10/relationships/person" Target="persons/person.xml"/><Relationship Id="rId10" Type="http://schemas.microsoft.com/office/2007/relationships/slicerCache" Target="slicerCaches/slicerCache5.xml"/><Relationship Id="rId4" Type="http://schemas.openxmlformats.org/officeDocument/2006/relationships/worksheet" Target="worksheets/sheet4.xml"/><Relationship Id="rId9" Type="http://schemas.microsoft.com/office/2007/relationships/slicerCache" Target="slicerCaches/slicerCache4.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[Student social media dashboard.xlsx]Pivot Table!PivotTable2</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ZA"/>
              <a:t>Daily</a:t>
            </a:r>
            <a:r>
              <a:rPr lang="en-ZA" baseline="0"/>
              <a:t> media usage based on gender and addiction level</a:t>
            </a:r>
            <a:endParaRPr lang="en-ZA"/>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ZA"/>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'Pivot Table'!$B$1:$B$2</c:f>
              <c:strCache>
                <c:ptCount val="1"/>
                <c:pt idx="0">
                  <c:v>Female</c:v>
                </c:pt>
              </c:strCache>
            </c:strRef>
          </c:tx>
          <c:spPr>
            <a:solidFill>
              <a:schemeClr val="accent1"/>
            </a:solidFill>
            <a:ln>
              <a:noFill/>
            </a:ln>
            <a:effectLst/>
            <a:sp3d/>
          </c:spPr>
          <c:invertIfNegative val="0"/>
          <c:cat>
            <c:strRef>
              <c:f>'Pivot Table'!$A$3:$A$6</c:f>
              <c:strCache>
                <c:ptCount val="3"/>
                <c:pt idx="0">
                  <c:v>High</c:v>
                </c:pt>
                <c:pt idx="1">
                  <c:v>Low</c:v>
                </c:pt>
                <c:pt idx="2">
                  <c:v>Medium</c:v>
                </c:pt>
              </c:strCache>
            </c:strRef>
          </c:cat>
          <c:val>
            <c:numRef>
              <c:f>'Pivot Table'!$B$3:$B$6</c:f>
              <c:numCache>
                <c:formatCode>General</c:formatCode>
                <c:ptCount val="3"/>
                <c:pt idx="0">
                  <c:v>1044.4000000000001</c:v>
                </c:pt>
                <c:pt idx="1">
                  <c:v>189.6</c:v>
                </c:pt>
                <c:pt idx="2">
                  <c:v>287.8</c:v>
                </c:pt>
              </c:numCache>
            </c:numRef>
          </c:val>
          <c:extLst>
            <c:ext xmlns:c16="http://schemas.microsoft.com/office/drawing/2014/chart" uri="{C3380CC4-5D6E-409C-BE32-E72D297353CC}">
              <c16:uniqueId val="{00000000-A428-4D7C-AB1F-EB5849279552}"/>
            </c:ext>
          </c:extLst>
        </c:ser>
        <c:ser>
          <c:idx val="1"/>
          <c:order val="1"/>
          <c:tx>
            <c:strRef>
              <c:f>'Pivot Table'!$C$1:$C$2</c:f>
              <c:strCache>
                <c:ptCount val="1"/>
                <c:pt idx="0">
                  <c:v>Male</c:v>
                </c:pt>
              </c:strCache>
            </c:strRef>
          </c:tx>
          <c:spPr>
            <a:solidFill>
              <a:schemeClr val="accent2"/>
            </a:solidFill>
            <a:ln>
              <a:noFill/>
            </a:ln>
            <a:effectLst/>
            <a:sp3d/>
          </c:spPr>
          <c:invertIfNegative val="0"/>
          <c:cat>
            <c:strRef>
              <c:f>'Pivot Table'!$A$3:$A$6</c:f>
              <c:strCache>
                <c:ptCount val="3"/>
                <c:pt idx="0">
                  <c:v>High</c:v>
                </c:pt>
                <c:pt idx="1">
                  <c:v>Low</c:v>
                </c:pt>
                <c:pt idx="2">
                  <c:v>Medium</c:v>
                </c:pt>
              </c:strCache>
            </c:strRef>
          </c:cat>
          <c:val>
            <c:numRef>
              <c:f>'Pivot Table'!$C$3:$C$6</c:f>
              <c:numCache>
                <c:formatCode>General</c:formatCode>
                <c:ptCount val="3"/>
                <c:pt idx="0">
                  <c:v>1053.4999999999998</c:v>
                </c:pt>
                <c:pt idx="1">
                  <c:v>143.00000000000003</c:v>
                </c:pt>
                <c:pt idx="2">
                  <c:v>289.10000000000002</c:v>
                </c:pt>
              </c:numCache>
            </c:numRef>
          </c:val>
          <c:extLst>
            <c:ext xmlns:c16="http://schemas.microsoft.com/office/drawing/2014/chart" uri="{C3380CC4-5D6E-409C-BE32-E72D297353CC}">
              <c16:uniqueId val="{00000001-A428-4D7C-AB1F-EB5849279552}"/>
            </c:ext>
          </c:extLst>
        </c:ser>
        <c:dLbls>
          <c:showLegendKey val="0"/>
          <c:showVal val="0"/>
          <c:showCatName val="0"/>
          <c:showSerName val="0"/>
          <c:showPercent val="0"/>
          <c:showBubbleSize val="0"/>
        </c:dLbls>
        <c:gapWidth val="150"/>
        <c:shape val="box"/>
        <c:axId val="1060532416"/>
        <c:axId val="1060529536"/>
        <c:axId val="0"/>
      </c:bar3DChart>
      <c:catAx>
        <c:axId val="106053241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ZA"/>
                  <a:t>Addiction</a:t>
                </a:r>
                <a:r>
                  <a:rPr lang="en-ZA" baseline="0"/>
                  <a:t> Level</a:t>
                </a:r>
                <a:endParaRPr lang="en-ZA"/>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ZA"/>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60529536"/>
        <c:crosses val="autoZero"/>
        <c:auto val="1"/>
        <c:lblAlgn val="ctr"/>
        <c:lblOffset val="100"/>
        <c:noMultiLvlLbl val="0"/>
      </c:catAx>
      <c:valAx>
        <c:axId val="1060529536"/>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ZA"/>
                  <a:t>Daily</a:t>
                </a:r>
                <a:r>
                  <a:rPr lang="en-ZA" baseline="0"/>
                  <a:t> useage hours</a:t>
                </a:r>
                <a:endParaRPr lang="en-ZA"/>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ZA"/>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6053241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[Student social media dashboard.xlsx]Pivot Table!PivotTable3</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ZA"/>
              <a:t>Affects</a:t>
            </a:r>
            <a:r>
              <a:rPr lang="en-ZA" baseline="0"/>
              <a:t> of media on student's academic performance</a:t>
            </a:r>
            <a:endParaRPr lang="en-ZA"/>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ZA"/>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'Pivot Table'!$G$1:$G$2</c:f>
              <c:strCache>
                <c:ptCount val="1"/>
                <c:pt idx="0">
                  <c:v>No</c:v>
                </c:pt>
              </c:strCache>
            </c:strRef>
          </c:tx>
          <c:spPr>
            <a:solidFill>
              <a:schemeClr val="accent1"/>
            </a:solidFill>
            <a:ln>
              <a:noFill/>
            </a:ln>
            <a:effectLst/>
            <a:sp3d/>
          </c:spPr>
          <c:invertIfNegative val="0"/>
          <c:cat>
            <c:strRef>
              <c:f>'Pivot Table'!$F$3:$F$9</c:f>
              <c:strCache>
                <c:ptCount val="6"/>
                <c:pt idx="0">
                  <c:v>Facebook</c:v>
                </c:pt>
                <c:pt idx="1">
                  <c:v>Instagram</c:v>
                </c:pt>
                <c:pt idx="2">
                  <c:v>TikTok</c:v>
                </c:pt>
                <c:pt idx="3">
                  <c:v>Twitter</c:v>
                </c:pt>
                <c:pt idx="4">
                  <c:v>WhatsApp</c:v>
                </c:pt>
                <c:pt idx="5">
                  <c:v>YouTube</c:v>
                </c:pt>
              </c:strCache>
            </c:strRef>
          </c:cat>
          <c:val>
            <c:numRef>
              <c:f>'Pivot Table'!$G$3:$G$9</c:f>
              <c:numCache>
                <c:formatCode>General</c:formatCode>
                <c:ptCount val="6"/>
                <c:pt idx="0">
                  <c:v>86</c:v>
                </c:pt>
                <c:pt idx="1">
                  <c:v>77</c:v>
                </c:pt>
                <c:pt idx="2">
                  <c:v>10</c:v>
                </c:pt>
                <c:pt idx="3">
                  <c:v>18</c:v>
                </c:pt>
                <c:pt idx="5">
                  <c:v>7</c:v>
                </c:pt>
              </c:numCache>
            </c:numRef>
          </c:val>
          <c:extLst>
            <c:ext xmlns:c16="http://schemas.microsoft.com/office/drawing/2014/chart" uri="{C3380CC4-5D6E-409C-BE32-E72D297353CC}">
              <c16:uniqueId val="{00000000-F472-4DEE-A54C-EFC498679FFB}"/>
            </c:ext>
          </c:extLst>
        </c:ser>
        <c:ser>
          <c:idx val="1"/>
          <c:order val="1"/>
          <c:tx>
            <c:strRef>
              <c:f>'Pivot Table'!$H$1:$H$2</c:f>
              <c:strCache>
                <c:ptCount val="1"/>
                <c:pt idx="0">
                  <c:v>Yes</c:v>
                </c:pt>
              </c:strCache>
            </c:strRef>
          </c:tx>
          <c:spPr>
            <a:solidFill>
              <a:schemeClr val="accent2"/>
            </a:solidFill>
            <a:ln>
              <a:noFill/>
            </a:ln>
            <a:effectLst/>
            <a:sp3d/>
          </c:spPr>
          <c:invertIfNegative val="0"/>
          <c:cat>
            <c:strRef>
              <c:f>'Pivot Table'!$F$3:$F$9</c:f>
              <c:strCache>
                <c:ptCount val="6"/>
                <c:pt idx="0">
                  <c:v>Facebook</c:v>
                </c:pt>
                <c:pt idx="1">
                  <c:v>Instagram</c:v>
                </c:pt>
                <c:pt idx="2">
                  <c:v>TikTok</c:v>
                </c:pt>
                <c:pt idx="3">
                  <c:v>Twitter</c:v>
                </c:pt>
                <c:pt idx="4">
                  <c:v>WhatsApp</c:v>
                </c:pt>
                <c:pt idx="5">
                  <c:v>YouTube</c:v>
                </c:pt>
              </c:strCache>
            </c:strRef>
          </c:cat>
          <c:val>
            <c:numRef>
              <c:f>'Pivot Table'!$H$3:$H$9</c:f>
              <c:numCache>
                <c:formatCode>General</c:formatCode>
                <c:ptCount val="6"/>
                <c:pt idx="0">
                  <c:v>37</c:v>
                </c:pt>
                <c:pt idx="1">
                  <c:v>172</c:v>
                </c:pt>
                <c:pt idx="2">
                  <c:v>144</c:v>
                </c:pt>
                <c:pt idx="3">
                  <c:v>11</c:v>
                </c:pt>
                <c:pt idx="4">
                  <c:v>54</c:v>
                </c:pt>
                <c:pt idx="5">
                  <c:v>3</c:v>
                </c:pt>
              </c:numCache>
            </c:numRef>
          </c:val>
          <c:extLst>
            <c:ext xmlns:c16="http://schemas.microsoft.com/office/drawing/2014/chart" uri="{C3380CC4-5D6E-409C-BE32-E72D297353CC}">
              <c16:uniqueId val="{00000001-F472-4DEE-A54C-EFC498679FFB}"/>
            </c:ext>
          </c:extLst>
        </c:ser>
        <c:dLbls>
          <c:showLegendKey val="0"/>
          <c:showVal val="0"/>
          <c:showCatName val="0"/>
          <c:showSerName val="0"/>
          <c:showPercent val="0"/>
          <c:showBubbleSize val="0"/>
        </c:dLbls>
        <c:gapWidth val="150"/>
        <c:shape val="box"/>
        <c:axId val="1330379312"/>
        <c:axId val="1330371632"/>
        <c:axId val="0"/>
      </c:bar3DChart>
      <c:catAx>
        <c:axId val="1330379312"/>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ZA"/>
                  <a:t>Media</a:t>
                </a:r>
                <a:r>
                  <a:rPr lang="en-ZA" baseline="0"/>
                  <a:t> Platforms</a:t>
                </a:r>
                <a:endParaRPr lang="en-ZA"/>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ZA"/>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30371632"/>
        <c:crosses val="autoZero"/>
        <c:auto val="1"/>
        <c:lblAlgn val="ctr"/>
        <c:lblOffset val="100"/>
        <c:noMultiLvlLbl val="0"/>
      </c:catAx>
      <c:valAx>
        <c:axId val="1330371632"/>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ZA"/>
                  <a:t>Number</a:t>
                </a:r>
                <a:r>
                  <a:rPr lang="en-ZA" baseline="0"/>
                  <a:t> of Students</a:t>
                </a:r>
                <a:endParaRPr lang="en-ZA"/>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ZA"/>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30379312"/>
        <c:crosses val="autoZero"/>
        <c:crossBetween val="between"/>
      </c:valAx>
      <c:spPr>
        <a:noFill/>
        <a:ln>
          <a:noFill/>
        </a:ln>
        <a:effectLst/>
      </c:spPr>
    </c:plotArea>
    <c:legend>
      <c:legendPos val="r"/>
      <c:layout>
        <c:manualLayout>
          <c:xMode val="edge"/>
          <c:yMode val="edge"/>
          <c:x val="0.73687379576107892"/>
          <c:y val="0.4573437835841454"/>
          <c:w val="0.24867533718689788"/>
          <c:h val="0.1856200068417053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[Student social media dashboard.xlsx]Pivot Table!PivotTable4</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ZA"/>
              <a:t>Most</a:t>
            </a:r>
            <a:r>
              <a:rPr lang="en-ZA" baseline="0"/>
              <a:t> used media platform by students</a:t>
            </a:r>
            <a:endParaRPr lang="en-ZA"/>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ZA"/>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s>
    <c:plotArea>
      <c:layout/>
      <c:pieChart>
        <c:varyColors val="1"/>
        <c:ser>
          <c:idx val="0"/>
          <c:order val="0"/>
          <c:tx>
            <c:strRef>
              <c:f>'Pivot Table'!$B$8</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7EDF-4F29-B213-F06A340E6C58}"/>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7EDF-4F29-B213-F06A340E6C58}"/>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7EDF-4F29-B213-F06A340E6C58}"/>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7EDF-4F29-B213-F06A340E6C58}"/>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7EDF-4F29-B213-F06A340E6C58}"/>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7EDF-4F29-B213-F06A340E6C58}"/>
              </c:ext>
            </c:extLst>
          </c:dPt>
          <c:cat>
            <c:strRef>
              <c:f>'Pivot Table'!$A$9:$A$15</c:f>
              <c:strCache>
                <c:ptCount val="6"/>
                <c:pt idx="0">
                  <c:v>Facebook</c:v>
                </c:pt>
                <c:pt idx="1">
                  <c:v>Instagram</c:v>
                </c:pt>
                <c:pt idx="2">
                  <c:v>TikTok</c:v>
                </c:pt>
                <c:pt idx="3">
                  <c:v>Twitter</c:v>
                </c:pt>
                <c:pt idx="4">
                  <c:v>WhatsApp</c:v>
                </c:pt>
                <c:pt idx="5">
                  <c:v>YouTube</c:v>
                </c:pt>
              </c:strCache>
            </c:strRef>
          </c:cat>
          <c:val>
            <c:numRef>
              <c:f>'Pivot Table'!$B$9:$B$15</c:f>
              <c:numCache>
                <c:formatCode>General</c:formatCode>
                <c:ptCount val="6"/>
                <c:pt idx="0">
                  <c:v>123</c:v>
                </c:pt>
                <c:pt idx="1">
                  <c:v>249</c:v>
                </c:pt>
                <c:pt idx="2">
                  <c:v>154</c:v>
                </c:pt>
                <c:pt idx="3">
                  <c:v>29</c:v>
                </c:pt>
                <c:pt idx="4">
                  <c:v>54</c:v>
                </c:pt>
                <c:pt idx="5">
                  <c:v>10</c:v>
                </c:pt>
              </c:numCache>
            </c:numRef>
          </c:val>
          <c:extLst>
            <c:ext xmlns:c16="http://schemas.microsoft.com/office/drawing/2014/chart" uri="{C3380CC4-5D6E-409C-BE32-E72D297353CC}">
              <c16:uniqueId val="{0000000C-7EDF-4F29-B213-F06A340E6C58}"/>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[Student social media dashboard.xlsx]Pivot Table!PivotTable5</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ZA"/>
              <a:t>Student</a:t>
            </a:r>
            <a:r>
              <a:rPr lang="en-ZA" baseline="0"/>
              <a:t> sleep patterns based on most used media platforms</a:t>
            </a:r>
            <a:endParaRPr lang="en-ZA"/>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ZA"/>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'Pivot Table'!$B$18:$B$19</c:f>
              <c:strCache>
                <c:ptCount val="1"/>
                <c:pt idx="0">
                  <c:v>Excessive Sleep</c:v>
                </c:pt>
              </c:strCache>
            </c:strRef>
          </c:tx>
          <c:spPr>
            <a:solidFill>
              <a:schemeClr val="accent1"/>
            </a:solidFill>
            <a:ln>
              <a:noFill/>
            </a:ln>
            <a:effectLst/>
            <a:sp3d/>
          </c:spPr>
          <c:invertIfNegative val="0"/>
          <c:cat>
            <c:strRef>
              <c:f>'Pivot Table'!$A$20:$A$25</c:f>
              <c:strCache>
                <c:ptCount val="5"/>
                <c:pt idx="0">
                  <c:v>Facebook</c:v>
                </c:pt>
                <c:pt idx="1">
                  <c:v>Instagram</c:v>
                </c:pt>
                <c:pt idx="2">
                  <c:v>Twitter</c:v>
                </c:pt>
                <c:pt idx="3">
                  <c:v>WhatsApp</c:v>
                </c:pt>
                <c:pt idx="4">
                  <c:v>YouTube</c:v>
                </c:pt>
              </c:strCache>
            </c:strRef>
          </c:cat>
          <c:val>
            <c:numRef>
              <c:f>'Pivot Table'!$B$20:$B$25</c:f>
              <c:numCache>
                <c:formatCode>General</c:formatCode>
                <c:ptCount val="5"/>
                <c:pt idx="0">
                  <c:v>6</c:v>
                </c:pt>
                <c:pt idx="1">
                  <c:v>10</c:v>
                </c:pt>
              </c:numCache>
            </c:numRef>
          </c:val>
          <c:extLst>
            <c:ext xmlns:c16="http://schemas.microsoft.com/office/drawing/2014/chart" uri="{C3380CC4-5D6E-409C-BE32-E72D297353CC}">
              <c16:uniqueId val="{00000000-97AB-42F4-AA53-AB1677CA9918}"/>
            </c:ext>
          </c:extLst>
        </c:ser>
        <c:ser>
          <c:idx val="1"/>
          <c:order val="1"/>
          <c:tx>
            <c:strRef>
              <c:f>'Pivot Table'!$C$18:$C$19</c:f>
              <c:strCache>
                <c:ptCount val="1"/>
                <c:pt idx="0">
                  <c:v>Severly Deficient Sleep</c:v>
                </c:pt>
              </c:strCache>
            </c:strRef>
          </c:tx>
          <c:spPr>
            <a:solidFill>
              <a:schemeClr val="accent2"/>
            </a:solidFill>
            <a:ln>
              <a:noFill/>
            </a:ln>
            <a:effectLst/>
            <a:sp3d/>
          </c:spPr>
          <c:invertIfNegative val="0"/>
          <c:cat>
            <c:strRef>
              <c:f>'Pivot Table'!$A$20:$A$25</c:f>
              <c:strCache>
                <c:ptCount val="5"/>
                <c:pt idx="0">
                  <c:v>Facebook</c:v>
                </c:pt>
                <c:pt idx="1">
                  <c:v>Instagram</c:v>
                </c:pt>
                <c:pt idx="2">
                  <c:v>Twitter</c:v>
                </c:pt>
                <c:pt idx="3">
                  <c:v>WhatsApp</c:v>
                </c:pt>
                <c:pt idx="4">
                  <c:v>YouTube</c:v>
                </c:pt>
              </c:strCache>
            </c:strRef>
          </c:cat>
          <c:val>
            <c:numRef>
              <c:f>'Pivot Table'!$C$20:$C$25</c:f>
              <c:numCache>
                <c:formatCode>General</c:formatCode>
                <c:ptCount val="5"/>
                <c:pt idx="0">
                  <c:v>41</c:v>
                </c:pt>
                <c:pt idx="1">
                  <c:v>114</c:v>
                </c:pt>
                <c:pt idx="2">
                  <c:v>11</c:v>
                </c:pt>
                <c:pt idx="3">
                  <c:v>54</c:v>
                </c:pt>
                <c:pt idx="4">
                  <c:v>9</c:v>
                </c:pt>
              </c:numCache>
            </c:numRef>
          </c:val>
          <c:extLst>
            <c:ext xmlns:c16="http://schemas.microsoft.com/office/drawing/2014/chart" uri="{C3380CC4-5D6E-409C-BE32-E72D297353CC}">
              <c16:uniqueId val="{00000001-97AB-42F4-AA53-AB1677CA9918}"/>
            </c:ext>
          </c:extLst>
        </c:ser>
        <c:ser>
          <c:idx val="2"/>
          <c:order val="2"/>
          <c:tx>
            <c:strRef>
              <c:f>'Pivot Table'!$D$18:$D$19</c:f>
              <c:strCache>
                <c:ptCount val="1"/>
                <c:pt idx="0">
                  <c:v>Sufficient Sleep</c:v>
                </c:pt>
              </c:strCache>
            </c:strRef>
          </c:tx>
          <c:spPr>
            <a:solidFill>
              <a:schemeClr val="accent3"/>
            </a:solidFill>
            <a:ln>
              <a:noFill/>
            </a:ln>
            <a:effectLst/>
            <a:sp3d/>
          </c:spPr>
          <c:invertIfNegative val="0"/>
          <c:cat>
            <c:strRef>
              <c:f>'Pivot Table'!$A$20:$A$25</c:f>
              <c:strCache>
                <c:ptCount val="5"/>
                <c:pt idx="0">
                  <c:v>Facebook</c:v>
                </c:pt>
                <c:pt idx="1">
                  <c:v>Instagram</c:v>
                </c:pt>
                <c:pt idx="2">
                  <c:v>Twitter</c:v>
                </c:pt>
                <c:pt idx="3">
                  <c:v>WhatsApp</c:v>
                </c:pt>
                <c:pt idx="4">
                  <c:v>YouTube</c:v>
                </c:pt>
              </c:strCache>
            </c:strRef>
          </c:cat>
          <c:val>
            <c:numRef>
              <c:f>'Pivot Table'!$D$20:$D$25</c:f>
              <c:numCache>
                <c:formatCode>General</c:formatCode>
                <c:ptCount val="5"/>
                <c:pt idx="0">
                  <c:v>76</c:v>
                </c:pt>
                <c:pt idx="1">
                  <c:v>125</c:v>
                </c:pt>
                <c:pt idx="2">
                  <c:v>18</c:v>
                </c:pt>
                <c:pt idx="4">
                  <c:v>1</c:v>
                </c:pt>
              </c:numCache>
            </c:numRef>
          </c:val>
          <c:extLst>
            <c:ext xmlns:c16="http://schemas.microsoft.com/office/drawing/2014/chart" uri="{C3380CC4-5D6E-409C-BE32-E72D297353CC}">
              <c16:uniqueId val="{00000002-97AB-42F4-AA53-AB1677CA9918}"/>
            </c:ext>
          </c:extLst>
        </c:ser>
        <c:dLbls>
          <c:showLegendKey val="0"/>
          <c:showVal val="0"/>
          <c:showCatName val="0"/>
          <c:showSerName val="0"/>
          <c:showPercent val="0"/>
          <c:showBubbleSize val="0"/>
        </c:dLbls>
        <c:gapWidth val="150"/>
        <c:shape val="box"/>
        <c:axId val="1330362992"/>
        <c:axId val="1330369712"/>
        <c:axId val="0"/>
      </c:bar3DChart>
      <c:catAx>
        <c:axId val="1330362992"/>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ZA"/>
                  <a:t>Most</a:t>
                </a:r>
                <a:r>
                  <a:rPr lang="en-ZA" baseline="0"/>
                  <a:t> used media platform</a:t>
                </a:r>
                <a:endParaRPr lang="en-ZA"/>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ZA"/>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30369712"/>
        <c:crosses val="autoZero"/>
        <c:auto val="1"/>
        <c:lblAlgn val="ctr"/>
        <c:lblOffset val="100"/>
        <c:noMultiLvlLbl val="0"/>
      </c:catAx>
      <c:valAx>
        <c:axId val="1330369712"/>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ZA"/>
                  <a:t>Number</a:t>
                </a:r>
                <a:r>
                  <a:rPr lang="en-ZA" baseline="0"/>
                  <a:t> of students</a:t>
                </a:r>
                <a:endParaRPr lang="en-ZA"/>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ZA"/>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3036299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0</xdr:colOff>
      <xdr:row>3</xdr:row>
      <xdr:rowOff>15240</xdr:rowOff>
    </xdr:from>
    <xdr:to>
      <xdr:col>7</xdr:col>
      <xdr:colOff>449580</xdr:colOff>
      <xdr:row>18</xdr:row>
      <xdr:rowOff>171450</xdr:rowOff>
    </xdr:to>
    <xdr:graphicFrame macro="">
      <xdr:nvGraphicFramePr>
        <xdr:cNvPr id="2" name="Chart 1">
          <a:extLst>
            <a:ext uri="{FF2B5EF4-FFF2-40B4-BE49-F238E27FC236}">
              <a16:creationId xmlns:a16="http://schemas.microsoft.com/office/drawing/2014/main" id="{AD38953D-2472-4AA7-8DA8-E682D19C16E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457200</xdr:colOff>
      <xdr:row>3</xdr:row>
      <xdr:rowOff>15240</xdr:rowOff>
    </xdr:from>
    <xdr:to>
      <xdr:col>15</xdr:col>
      <xdr:colOff>190500</xdr:colOff>
      <xdr:row>19</xdr:row>
      <xdr:rowOff>0</xdr:rowOff>
    </xdr:to>
    <xdr:graphicFrame macro="">
      <xdr:nvGraphicFramePr>
        <xdr:cNvPr id="3" name="Chart 2">
          <a:extLst>
            <a:ext uri="{FF2B5EF4-FFF2-40B4-BE49-F238E27FC236}">
              <a16:creationId xmlns:a16="http://schemas.microsoft.com/office/drawing/2014/main" id="{F7EAC8F4-1B79-4BE5-B84A-833EF1DCC97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18</xdr:row>
      <xdr:rowOff>168787</xdr:rowOff>
    </xdr:from>
    <xdr:to>
      <xdr:col>7</xdr:col>
      <xdr:colOff>449580</xdr:colOff>
      <xdr:row>33</xdr:row>
      <xdr:rowOff>176407</xdr:rowOff>
    </xdr:to>
    <xdr:graphicFrame macro="">
      <xdr:nvGraphicFramePr>
        <xdr:cNvPr id="4" name="Chart 3">
          <a:extLst>
            <a:ext uri="{FF2B5EF4-FFF2-40B4-BE49-F238E27FC236}">
              <a16:creationId xmlns:a16="http://schemas.microsoft.com/office/drawing/2014/main" id="{316DAFF8-7601-4638-870A-FA4BB9CEADE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7</xdr:col>
      <xdr:colOff>441929</xdr:colOff>
      <xdr:row>19</xdr:row>
      <xdr:rowOff>14383</xdr:rowOff>
    </xdr:from>
    <xdr:to>
      <xdr:col>15</xdr:col>
      <xdr:colOff>192318</xdr:colOff>
      <xdr:row>34</xdr:row>
      <xdr:rowOff>14383</xdr:rowOff>
    </xdr:to>
    <xdr:graphicFrame macro="">
      <xdr:nvGraphicFramePr>
        <xdr:cNvPr id="5" name="Chart 4">
          <a:extLst>
            <a:ext uri="{FF2B5EF4-FFF2-40B4-BE49-F238E27FC236}">
              <a16:creationId xmlns:a16="http://schemas.microsoft.com/office/drawing/2014/main" id="{62971626-07E7-495A-9A3D-13DCD9D5AB5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15</xdr:col>
      <xdr:colOff>203071</xdr:colOff>
      <xdr:row>8</xdr:row>
      <xdr:rowOff>59344</xdr:rowOff>
    </xdr:from>
    <xdr:to>
      <xdr:col>18</xdr:col>
      <xdr:colOff>1492</xdr:colOff>
      <xdr:row>13</xdr:row>
      <xdr:rowOff>82426</xdr:rowOff>
    </xdr:to>
    <mc:AlternateContent xmlns:mc="http://schemas.openxmlformats.org/markup-compatibility/2006">
      <mc:Choice xmlns:a14="http://schemas.microsoft.com/office/drawing/2010/main" Requires="a14">
        <xdr:graphicFrame macro="">
          <xdr:nvGraphicFramePr>
            <xdr:cNvPr id="9" name="Gender">
              <a:extLst>
                <a:ext uri="{FF2B5EF4-FFF2-40B4-BE49-F238E27FC236}">
                  <a16:creationId xmlns:a16="http://schemas.microsoft.com/office/drawing/2014/main" id="{E2D11B52-595B-2420-D0BA-3271BDB19C97}"/>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dr:sp macro="" textlink="">
          <xdr:nvSpPr>
            <xdr:cNvPr id="0" name=""/>
            <xdr:cNvSpPr>
              <a:spLocks noTextEdit="1"/>
            </xdr:cNvSpPr>
          </xdr:nvSpPr>
          <xdr:spPr>
            <a:xfrm>
              <a:off x="9347071" y="1510773"/>
              <a:ext cx="1837678" cy="930224"/>
            </a:xfrm>
            <a:prstGeom prst="rect">
              <a:avLst/>
            </a:prstGeom>
            <a:solidFill>
              <a:prstClr val="white"/>
            </a:solidFill>
            <a:ln w="1">
              <a:solidFill>
                <a:prstClr val="green"/>
              </a:solidFill>
            </a:ln>
          </xdr:spPr>
          <xdr:txBody>
            <a:bodyPr vertOverflow="clip" horzOverflow="clip"/>
            <a:lstStyle/>
            <a:p>
              <a:r>
                <a:rPr lang="en-ZA"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201207</xdr:colOff>
      <xdr:row>20</xdr:row>
      <xdr:rowOff>20431</xdr:rowOff>
    </xdr:from>
    <xdr:to>
      <xdr:col>17</xdr:col>
      <xdr:colOff>819685</xdr:colOff>
      <xdr:row>26</xdr:row>
      <xdr:rowOff>110909</xdr:rowOff>
    </xdr:to>
    <mc:AlternateContent xmlns:mc="http://schemas.openxmlformats.org/markup-compatibility/2006">
      <mc:Choice xmlns:a14="http://schemas.microsoft.com/office/drawing/2010/main" Requires="a14">
        <xdr:graphicFrame macro="">
          <xdr:nvGraphicFramePr>
            <xdr:cNvPr id="10" name="Academic Level">
              <a:extLst>
                <a:ext uri="{FF2B5EF4-FFF2-40B4-BE49-F238E27FC236}">
                  <a16:creationId xmlns:a16="http://schemas.microsoft.com/office/drawing/2014/main" id="{5E7CBE55-0DE8-6A17-FDF2-3E723DB666CB}"/>
                </a:ext>
              </a:extLst>
            </xdr:cNvPr>
            <xdr:cNvGraphicFramePr/>
          </xdr:nvGraphicFramePr>
          <xdr:xfrm>
            <a:off x="0" y="0"/>
            <a:ext cx="0" cy="0"/>
          </xdr:xfrm>
          <a:graphic>
            <a:graphicData uri="http://schemas.microsoft.com/office/drawing/2010/slicer">
              <sle:slicer xmlns:sle="http://schemas.microsoft.com/office/drawing/2010/slicer" name="Academic Level"/>
            </a:graphicData>
          </a:graphic>
        </xdr:graphicFrame>
      </mc:Choice>
      <mc:Fallback>
        <xdr:sp macro="" textlink="">
          <xdr:nvSpPr>
            <xdr:cNvPr id="0" name=""/>
            <xdr:cNvSpPr>
              <a:spLocks noTextEdit="1"/>
            </xdr:cNvSpPr>
          </xdr:nvSpPr>
          <xdr:spPr>
            <a:xfrm>
              <a:off x="9345207" y="3649002"/>
              <a:ext cx="1837678" cy="1179050"/>
            </a:xfrm>
            <a:prstGeom prst="rect">
              <a:avLst/>
            </a:prstGeom>
            <a:solidFill>
              <a:prstClr val="white"/>
            </a:solidFill>
            <a:ln w="1">
              <a:solidFill>
                <a:prstClr val="green"/>
              </a:solidFill>
            </a:ln>
          </xdr:spPr>
          <xdr:txBody>
            <a:bodyPr vertOverflow="clip" horzOverflow="clip"/>
            <a:lstStyle/>
            <a:p>
              <a:r>
                <a:rPr lang="en-ZA"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200660</xdr:colOff>
      <xdr:row>13</xdr:row>
      <xdr:rowOff>81194</xdr:rowOff>
    </xdr:from>
    <xdr:to>
      <xdr:col>17</xdr:col>
      <xdr:colOff>819138</xdr:colOff>
      <xdr:row>20</xdr:row>
      <xdr:rowOff>17941</xdr:rowOff>
    </xdr:to>
    <mc:AlternateContent xmlns:mc="http://schemas.openxmlformats.org/markup-compatibility/2006">
      <mc:Choice xmlns:a14="http://schemas.microsoft.com/office/drawing/2010/main" Requires="a14">
        <xdr:graphicFrame macro="">
          <xdr:nvGraphicFramePr>
            <xdr:cNvPr id="12" name="Relationship Status">
              <a:extLst>
                <a:ext uri="{FF2B5EF4-FFF2-40B4-BE49-F238E27FC236}">
                  <a16:creationId xmlns:a16="http://schemas.microsoft.com/office/drawing/2014/main" id="{F45C927F-E16A-9769-9C82-AC6FE26E31BF}"/>
                </a:ext>
              </a:extLst>
            </xdr:cNvPr>
            <xdr:cNvGraphicFramePr/>
          </xdr:nvGraphicFramePr>
          <xdr:xfrm>
            <a:off x="0" y="0"/>
            <a:ext cx="0" cy="0"/>
          </xdr:xfrm>
          <a:graphic>
            <a:graphicData uri="http://schemas.microsoft.com/office/drawing/2010/slicer">
              <sle:slicer xmlns:sle="http://schemas.microsoft.com/office/drawing/2010/slicer" name="Relationship Status"/>
            </a:graphicData>
          </a:graphic>
        </xdr:graphicFrame>
      </mc:Choice>
      <mc:Fallback>
        <xdr:sp macro="" textlink="">
          <xdr:nvSpPr>
            <xdr:cNvPr id="0" name=""/>
            <xdr:cNvSpPr>
              <a:spLocks noTextEdit="1"/>
            </xdr:cNvSpPr>
          </xdr:nvSpPr>
          <xdr:spPr>
            <a:xfrm>
              <a:off x="9344660" y="2439765"/>
              <a:ext cx="1837678" cy="1206747"/>
            </a:xfrm>
            <a:prstGeom prst="rect">
              <a:avLst/>
            </a:prstGeom>
            <a:solidFill>
              <a:prstClr val="white"/>
            </a:solidFill>
            <a:ln w="1">
              <a:solidFill>
                <a:prstClr val="green"/>
              </a:solidFill>
            </a:ln>
          </xdr:spPr>
          <xdr:txBody>
            <a:bodyPr vertOverflow="clip" horzOverflow="clip"/>
            <a:lstStyle/>
            <a:p>
              <a:r>
                <a:rPr lang="en-ZA"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200777</xdr:colOff>
      <xdr:row>3</xdr:row>
      <xdr:rowOff>9920</xdr:rowOff>
    </xdr:from>
    <xdr:to>
      <xdr:col>17</xdr:col>
      <xdr:colOff>819255</xdr:colOff>
      <xdr:row>8</xdr:row>
      <xdr:rowOff>56009</xdr:rowOff>
    </xdr:to>
    <mc:AlternateContent xmlns:mc="http://schemas.openxmlformats.org/markup-compatibility/2006">
      <mc:Choice xmlns:a14="http://schemas.microsoft.com/office/drawing/2010/main" Requires="a14">
        <xdr:graphicFrame macro="">
          <xdr:nvGraphicFramePr>
            <xdr:cNvPr id="13" name="Age Group">
              <a:extLst>
                <a:ext uri="{FF2B5EF4-FFF2-40B4-BE49-F238E27FC236}">
                  <a16:creationId xmlns:a16="http://schemas.microsoft.com/office/drawing/2014/main" id="{E96F98DB-9D76-2141-EEA4-502B5950860C}"/>
                </a:ext>
              </a:extLst>
            </xdr:cNvPr>
            <xdr:cNvGraphicFramePr/>
          </xdr:nvGraphicFramePr>
          <xdr:xfrm>
            <a:off x="0" y="0"/>
            <a:ext cx="0" cy="0"/>
          </xdr:xfrm>
          <a:graphic>
            <a:graphicData uri="http://schemas.microsoft.com/office/drawing/2010/slicer">
              <sle:slicer xmlns:sle="http://schemas.microsoft.com/office/drawing/2010/slicer" name="Age Group"/>
            </a:graphicData>
          </a:graphic>
        </xdr:graphicFrame>
      </mc:Choice>
      <mc:Fallback>
        <xdr:sp macro="" textlink="">
          <xdr:nvSpPr>
            <xdr:cNvPr id="0" name=""/>
            <xdr:cNvSpPr>
              <a:spLocks noTextEdit="1"/>
            </xdr:cNvSpPr>
          </xdr:nvSpPr>
          <xdr:spPr>
            <a:xfrm>
              <a:off x="9344777" y="554206"/>
              <a:ext cx="1837678" cy="953232"/>
            </a:xfrm>
            <a:prstGeom prst="rect">
              <a:avLst/>
            </a:prstGeom>
            <a:solidFill>
              <a:prstClr val="white"/>
            </a:solidFill>
            <a:ln w="1">
              <a:solidFill>
                <a:prstClr val="green"/>
              </a:solidFill>
            </a:ln>
          </xdr:spPr>
          <xdr:txBody>
            <a:bodyPr vertOverflow="clip" horzOverflow="clip"/>
            <a:lstStyle/>
            <a:p>
              <a:r>
                <a:rPr lang="en-ZA"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206466</xdr:colOff>
      <xdr:row>26</xdr:row>
      <xdr:rowOff>108858</xdr:rowOff>
    </xdr:from>
    <xdr:to>
      <xdr:col>17</xdr:col>
      <xdr:colOff>816066</xdr:colOff>
      <xdr:row>34</xdr:row>
      <xdr:rowOff>29029</xdr:rowOff>
    </xdr:to>
    <mc:AlternateContent xmlns:mc="http://schemas.openxmlformats.org/markup-compatibility/2006">
      <mc:Choice xmlns:a14="http://schemas.microsoft.com/office/drawing/2010/main" Requires="a14">
        <xdr:graphicFrame macro="">
          <xdr:nvGraphicFramePr>
            <xdr:cNvPr id="14" name="Country">
              <a:extLst>
                <a:ext uri="{FF2B5EF4-FFF2-40B4-BE49-F238E27FC236}">
                  <a16:creationId xmlns:a16="http://schemas.microsoft.com/office/drawing/2014/main" id="{1D1125AE-7AF8-09DC-2959-2E5309A80F72}"/>
                </a:ext>
              </a:extLst>
            </xdr:cNvPr>
            <xdr:cNvGraphicFramePr/>
          </xdr:nvGraphicFramePr>
          <xdr:xfrm>
            <a:off x="0" y="0"/>
            <a:ext cx="0" cy="0"/>
          </xdr:xfrm>
          <a:graphic>
            <a:graphicData uri="http://schemas.microsoft.com/office/drawing/2010/slicer">
              <sle:slicer xmlns:sle="http://schemas.microsoft.com/office/drawing/2010/slicer" name="Country"/>
            </a:graphicData>
          </a:graphic>
        </xdr:graphicFrame>
      </mc:Choice>
      <mc:Fallback>
        <xdr:sp macro="" textlink="">
          <xdr:nvSpPr>
            <xdr:cNvPr id="0" name=""/>
            <xdr:cNvSpPr>
              <a:spLocks noTextEdit="1"/>
            </xdr:cNvSpPr>
          </xdr:nvSpPr>
          <xdr:spPr>
            <a:xfrm>
              <a:off x="9350466" y="4826001"/>
              <a:ext cx="1828800" cy="1371599"/>
            </a:xfrm>
            <a:prstGeom prst="rect">
              <a:avLst/>
            </a:prstGeom>
            <a:solidFill>
              <a:prstClr val="white"/>
            </a:solidFill>
            <a:ln w="1">
              <a:solidFill>
                <a:prstClr val="green"/>
              </a:solidFill>
            </a:ln>
          </xdr:spPr>
          <xdr:txBody>
            <a:bodyPr vertOverflow="clip" horzOverflow="clip"/>
            <a:lstStyle/>
            <a:p>
              <a:r>
                <a:rPr lang="en-ZA"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ngela Happy" refreshedDate="45987.887262962962" createdVersion="8" refreshedVersion="8" minRefreshableVersion="3" recordCount="704" xr:uid="{C2B0E2D3-DED3-41B7-B899-2ACDFD8BBBB7}">
  <cacheSource type="worksheet">
    <worksheetSource name="Students_Social_Media_Addiction_cleaned"/>
  </cacheSource>
  <cacheFields count="17">
    <cacheField name="Student ID" numFmtId="0">
      <sharedItems containsSemiMixedTypes="0" containsString="0" containsNumber="1" containsInteger="1" minValue="1" maxValue="705"/>
    </cacheField>
    <cacheField name="Age" numFmtId="0">
      <sharedItems containsSemiMixedTypes="0" containsString="0" containsNumber="1" containsInteger="1" minValue="18" maxValue="24" count="7">
        <n v="19"/>
        <n v="20"/>
        <n v="18"/>
        <n v="21"/>
        <n v="23"/>
        <n v="22"/>
        <n v="24"/>
      </sharedItems>
    </cacheField>
    <cacheField name="Age Group" numFmtId="0">
      <sharedItems count="2">
        <s v="Teenager"/>
        <s v="Young Adult"/>
      </sharedItems>
    </cacheField>
    <cacheField name="Gender" numFmtId="0">
      <sharedItems count="2">
        <s v="Female"/>
        <s v="Male"/>
      </sharedItems>
    </cacheField>
    <cacheField name="Academic Level" numFmtId="0">
      <sharedItems count="3">
        <s v="Undergraduate"/>
        <s v="High School"/>
        <s v="Graduate"/>
      </sharedItems>
    </cacheField>
    <cacheField name="Country" numFmtId="0">
      <sharedItems count="110">
        <s v="Bangladesh"/>
        <s v="USA"/>
        <s v="UK"/>
        <s v="Canada"/>
        <s v="Australia"/>
        <s v="Germany"/>
        <s v="Brazil"/>
        <s v="Japan"/>
        <s v="South Korea"/>
        <s v="France"/>
        <s v="Spain"/>
        <s v="Italy"/>
        <s v="Mexico"/>
        <s v="Russia"/>
        <s v="China"/>
        <s v="Sweden"/>
        <s v="Norway"/>
        <s v="Denmark"/>
        <s v="Netherlands"/>
        <s v="Belgium"/>
        <s v="Switzerland"/>
        <s v="Austria"/>
        <s v="Portugal"/>
        <s v="Greece"/>
        <s v="Ireland"/>
        <s v="New Zealand"/>
        <s v="Singapore"/>
        <s v="Malaysia"/>
        <s v="Thailand"/>
        <s v="Vietnam"/>
        <s v="Philippines"/>
        <s v="Indonesia"/>
        <s v="Taiwan"/>
        <s v="Hong Kong"/>
        <s v="Turkey"/>
        <s v="Israel"/>
        <s v="UAE"/>
        <s v="Egypt"/>
        <s v="Morocco"/>
        <s v="South Africa"/>
        <s v="Nigeria"/>
        <s v="Kenya"/>
        <s v="Ghana"/>
        <s v="Argentina"/>
        <s v="Chile"/>
        <s v="Colombia"/>
        <s v="Peru"/>
        <s v="Venezuela"/>
        <s v="Ecuador"/>
        <s v="Uruguay"/>
        <s v="Paraguay"/>
        <s v="Bolivia"/>
        <s v="Costa Rica"/>
        <s v="Panama"/>
        <s v="Jamaica"/>
        <s v="Trinidad"/>
        <s v="Bahamas"/>
        <s v="Iceland"/>
        <s v="Finland"/>
        <s v="Poland"/>
        <s v="Romania"/>
        <s v="Hungary"/>
        <s v="Czech Republic"/>
        <s v="Slovakia"/>
        <s v="Croatia"/>
        <s v="Serbia"/>
        <s v="Slovenia"/>
        <s v="Bulgaria"/>
        <s v="Estonia"/>
        <s v="Latvia"/>
        <s v="Lithuania"/>
        <s v="Ukraine"/>
        <s v="Moldova"/>
        <s v="Belarus"/>
        <s v="Kazakhstan"/>
        <s v="Uzbekistan"/>
        <s v="Kyrgyzstan"/>
        <s v="Tajikistan"/>
        <s v="Armenia"/>
        <s v="Georgia"/>
        <s v="Azerbaijan"/>
        <s v="Cyprus"/>
        <s v="Malta"/>
        <s v="Luxembourg"/>
        <s v="Monaco"/>
        <s v="Andorra"/>
        <s v="San Marino"/>
        <s v="Vatican City"/>
        <s v="Liechtenstein"/>
        <s v="Montenegro"/>
        <s v="Albania"/>
        <s v="North Macedonia"/>
        <s v="Kosovo"/>
        <s v="Bosnia"/>
        <s v="Qatar"/>
        <s v="Kuwait"/>
        <s v="Bahrain"/>
        <s v="Oman"/>
        <s v="Jordan"/>
        <s v="Lebanon"/>
        <s v="Iraq"/>
        <s v="Yemen"/>
        <s v="Syria"/>
        <s v="Afghanistan"/>
        <s v="Pakistan"/>
        <s v="Nepal"/>
        <s v="Bhutan"/>
        <s v="Sri Lanka"/>
        <s v="Maldives"/>
        <s v="India"/>
      </sharedItems>
    </cacheField>
    <cacheField name="Avg Daily Usage Hours" numFmtId="0">
      <sharedItems containsSemiMixedTypes="0" containsString="0" containsNumber="1" minValue="1.5" maxValue="8.5"/>
    </cacheField>
    <cacheField name="Daily Usage Levels" numFmtId="0">
      <sharedItems count="3">
        <s v="Moderate Use"/>
        <s v="Heavy Use"/>
        <s v="Low Use"/>
      </sharedItems>
    </cacheField>
    <cacheField name="Most Used Platform" numFmtId="0">
      <sharedItems count="12">
        <s v="Instagram"/>
        <s v="TikTok"/>
        <s v="YouTube"/>
        <s v="Facebook"/>
        <s v="LinkedIn"/>
        <s v="Snapchat"/>
        <s v="LINE"/>
        <s v="KakaoTalk"/>
        <s v="VKontakte"/>
        <s v="WhatsApp"/>
        <s v="WeChat"/>
        <s v="Twitter"/>
      </sharedItems>
    </cacheField>
    <cacheField name="Affects Academic Performance" numFmtId="0">
      <sharedItems count="2">
        <s v="Yes"/>
        <s v="No"/>
      </sharedItems>
    </cacheField>
    <cacheField name="Sleep Hours Per Night" numFmtId="0">
      <sharedItems containsSemiMixedTypes="0" containsString="0" containsNumber="1" minValue="3.8" maxValue="9.6" count="59">
        <n v="6.5"/>
        <n v="5"/>
        <n v="7"/>
        <n v="6"/>
        <n v="4.5"/>
        <n v="8"/>
        <n v="6.2"/>
        <n v="5.8"/>
        <n v="7.2"/>
        <n v="5.5"/>
        <n v="6.8"/>
        <n v="7.8"/>
        <n v="5.7"/>
        <n v="6.7"/>
        <n v="5.9"/>
        <n v="7.3"/>
        <n v="5.4"/>
        <n v="6.9"/>
        <n v="5.2"/>
        <n v="6.6"/>
        <n v="7.4"/>
        <n v="5.3"/>
        <n v="5.0999999999999996"/>
        <n v="7.1"/>
        <n v="5.6"/>
        <n v="6.4"/>
        <n v="6.3"/>
        <n v="6.1"/>
        <n v="7.5"/>
        <n v="7.6"/>
        <n v="7.7"/>
        <n v="7.9"/>
        <n v="8.1"/>
        <n v="8.1999999999999993"/>
        <n v="8.3000000000000007"/>
        <n v="4.9000000000000004"/>
        <n v="8.4"/>
        <n v="4.8"/>
        <n v="8.5"/>
        <n v="4.7"/>
        <n v="8.6"/>
        <n v="4.5999999999999996"/>
        <n v="4.4000000000000004"/>
        <n v="8.6999999999999993"/>
        <n v="4.3"/>
        <n v="8.8000000000000007"/>
        <n v="4.2"/>
        <n v="8.9"/>
        <n v="4.0999999999999996"/>
        <n v="9"/>
        <n v="9.1"/>
        <n v="9.1999999999999993"/>
        <n v="9.3000000000000007"/>
        <n v="9.4"/>
        <n v="4"/>
        <n v="9.5"/>
        <n v="3.9"/>
        <n v="9.6"/>
        <n v="3.8"/>
      </sharedItems>
    </cacheField>
    <cacheField name="Hours of Sleep Categories" numFmtId="0">
      <sharedItems count="3">
        <s v="Severly Deficient Sleep"/>
        <s v="Sufficient Sleep"/>
        <s v="Excessive Sleep"/>
      </sharedItems>
    </cacheField>
    <cacheField name="Mental Health Score" numFmtId="0">
      <sharedItems containsSemiMixedTypes="0" containsString="0" containsNumber="1" containsInteger="1" minValue="4" maxValue="9"/>
    </cacheField>
    <cacheField name="Mental Health Level" numFmtId="0">
      <sharedItems/>
    </cacheField>
    <cacheField name="Relationship Status" numFmtId="0">
      <sharedItems count="3">
        <s v="In Relationship"/>
        <s v="Complicated"/>
        <s v="Single"/>
      </sharedItems>
    </cacheField>
    <cacheField name="Addicted Score" numFmtId="0">
      <sharedItems containsString="0" containsBlank="1" containsNumber="1" containsInteger="1" minValue="4" maxValue="9"/>
    </cacheField>
    <cacheField name="Addiction Level" numFmtId="0">
      <sharedItems containsMixedTypes="1" containsNumber="1" containsInteger="1" minValue="2" maxValue="9" count="11">
        <s v="High"/>
        <n v="9"/>
        <s v="Low"/>
        <n v="2"/>
        <n v="8"/>
        <s v="Medium"/>
        <n v="7"/>
        <n v="4"/>
        <n v="3"/>
        <n v="6"/>
        <n v="5"/>
      </sharedItems>
    </cacheField>
  </cacheFields>
  <extLst>
    <ext xmlns:x14="http://schemas.microsoft.com/office/spreadsheetml/2009/9/main" uri="{725AE2AE-9491-48be-B2B4-4EB974FC3084}">
      <x14:pivotCacheDefinition pivotCacheId="1111972352"/>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04">
  <r>
    <n v="1"/>
    <x v="0"/>
    <x v="0"/>
    <x v="0"/>
    <x v="0"/>
    <x v="0"/>
    <n v="5.2"/>
    <x v="0"/>
    <x v="0"/>
    <x v="0"/>
    <x v="0"/>
    <x v="0"/>
    <n v="6"/>
    <s v="Moderate"/>
    <x v="0"/>
    <n v="8"/>
    <x v="0"/>
  </r>
  <r>
    <n v="3"/>
    <x v="1"/>
    <x v="1"/>
    <x v="0"/>
    <x v="0"/>
    <x v="1"/>
    <n v="6"/>
    <x v="1"/>
    <x v="1"/>
    <x v="0"/>
    <x v="1"/>
    <x v="0"/>
    <n v="5"/>
    <s v="Moderate"/>
    <x v="1"/>
    <m/>
    <x v="1"/>
  </r>
  <r>
    <n v="4"/>
    <x v="2"/>
    <x v="0"/>
    <x v="1"/>
    <x v="1"/>
    <x v="2"/>
    <n v="3"/>
    <x v="2"/>
    <x v="2"/>
    <x v="1"/>
    <x v="2"/>
    <x v="1"/>
    <n v="7"/>
    <s v="Sever"/>
    <x v="2"/>
    <n v="4"/>
    <x v="2"/>
  </r>
  <r>
    <n v="5"/>
    <x v="3"/>
    <x v="1"/>
    <x v="1"/>
    <x v="2"/>
    <x v="3"/>
    <n v="4.5"/>
    <x v="0"/>
    <x v="3"/>
    <x v="0"/>
    <x v="3"/>
    <x v="0"/>
    <n v="6"/>
    <s v="Moderate"/>
    <x v="0"/>
    <n v="7"/>
    <x v="0"/>
  </r>
  <r>
    <n v="6"/>
    <x v="0"/>
    <x v="0"/>
    <x v="0"/>
    <x v="0"/>
    <x v="4"/>
    <n v="7.2"/>
    <x v="1"/>
    <x v="0"/>
    <x v="0"/>
    <x v="4"/>
    <x v="0"/>
    <n v="4"/>
    <s v="Mild"/>
    <x v="1"/>
    <m/>
    <x v="1"/>
  </r>
  <r>
    <n v="7"/>
    <x v="4"/>
    <x v="1"/>
    <x v="1"/>
    <x v="2"/>
    <x v="5"/>
    <n v="1.5"/>
    <x v="2"/>
    <x v="4"/>
    <x v="1"/>
    <x v="5"/>
    <x v="1"/>
    <n v="9"/>
    <s v="Sever"/>
    <x v="2"/>
    <m/>
    <x v="3"/>
  </r>
  <r>
    <n v="8"/>
    <x v="1"/>
    <x v="1"/>
    <x v="0"/>
    <x v="0"/>
    <x v="6"/>
    <n v="5.8"/>
    <x v="0"/>
    <x v="5"/>
    <x v="0"/>
    <x v="3"/>
    <x v="0"/>
    <n v="6"/>
    <s v="Moderate"/>
    <x v="0"/>
    <m/>
    <x v="4"/>
  </r>
  <r>
    <n v="9"/>
    <x v="2"/>
    <x v="0"/>
    <x v="1"/>
    <x v="1"/>
    <x v="7"/>
    <n v="4"/>
    <x v="0"/>
    <x v="1"/>
    <x v="1"/>
    <x v="0"/>
    <x v="0"/>
    <n v="7"/>
    <s v="Sever"/>
    <x v="2"/>
    <n v="5"/>
    <x v="5"/>
  </r>
  <r>
    <n v="10"/>
    <x v="3"/>
    <x v="1"/>
    <x v="0"/>
    <x v="2"/>
    <x v="8"/>
    <n v="3.3"/>
    <x v="2"/>
    <x v="0"/>
    <x v="1"/>
    <x v="2"/>
    <x v="1"/>
    <n v="7"/>
    <s v="Sever"/>
    <x v="0"/>
    <n v="4"/>
    <x v="2"/>
  </r>
  <r>
    <n v="11"/>
    <x v="0"/>
    <x v="0"/>
    <x v="1"/>
    <x v="0"/>
    <x v="9"/>
    <n v="4.8"/>
    <x v="0"/>
    <x v="5"/>
    <x v="0"/>
    <x v="6"/>
    <x v="0"/>
    <n v="5"/>
    <s v="Moderate"/>
    <x v="1"/>
    <m/>
    <x v="6"/>
  </r>
  <r>
    <n v="12"/>
    <x v="1"/>
    <x v="1"/>
    <x v="0"/>
    <x v="0"/>
    <x v="10"/>
    <n v="5.5"/>
    <x v="0"/>
    <x v="1"/>
    <x v="0"/>
    <x v="7"/>
    <x v="0"/>
    <n v="6"/>
    <s v="Moderate"/>
    <x v="0"/>
    <n v="8"/>
    <x v="0"/>
  </r>
  <r>
    <n v="13"/>
    <x v="5"/>
    <x v="1"/>
    <x v="1"/>
    <x v="2"/>
    <x v="11"/>
    <n v="2.8"/>
    <x v="2"/>
    <x v="4"/>
    <x v="1"/>
    <x v="8"/>
    <x v="1"/>
    <n v="8"/>
    <s v="Sever"/>
    <x v="2"/>
    <m/>
    <x v="7"/>
  </r>
  <r>
    <n v="14"/>
    <x v="2"/>
    <x v="0"/>
    <x v="0"/>
    <x v="1"/>
    <x v="12"/>
    <n v="6.5"/>
    <x v="1"/>
    <x v="0"/>
    <x v="0"/>
    <x v="9"/>
    <x v="0"/>
    <n v="5"/>
    <s v="Moderate"/>
    <x v="2"/>
    <n v="9"/>
    <x v="0"/>
  </r>
  <r>
    <n v="15"/>
    <x v="3"/>
    <x v="1"/>
    <x v="1"/>
    <x v="0"/>
    <x v="13"/>
    <n v="3.7"/>
    <x v="2"/>
    <x v="2"/>
    <x v="1"/>
    <x v="10"/>
    <x v="0"/>
    <n v="7"/>
    <s v="Sever"/>
    <x v="0"/>
    <n v="5"/>
    <x v="5"/>
  </r>
  <r>
    <n v="16"/>
    <x v="1"/>
    <x v="1"/>
    <x v="0"/>
    <x v="0"/>
    <x v="14"/>
    <n v="4.2"/>
    <x v="0"/>
    <x v="1"/>
    <x v="0"/>
    <x v="3"/>
    <x v="0"/>
    <n v="6"/>
    <s v="Moderate"/>
    <x v="1"/>
    <m/>
    <x v="6"/>
  </r>
  <r>
    <n v="17"/>
    <x v="6"/>
    <x v="1"/>
    <x v="1"/>
    <x v="2"/>
    <x v="15"/>
    <n v="2"/>
    <x v="2"/>
    <x v="4"/>
    <x v="1"/>
    <x v="11"/>
    <x v="1"/>
    <n v="8"/>
    <s v="Sever"/>
    <x v="2"/>
    <m/>
    <x v="8"/>
  </r>
  <r>
    <n v="18"/>
    <x v="0"/>
    <x v="0"/>
    <x v="0"/>
    <x v="1"/>
    <x v="16"/>
    <n v="5"/>
    <x v="0"/>
    <x v="0"/>
    <x v="0"/>
    <x v="12"/>
    <x v="0"/>
    <n v="5"/>
    <s v="Moderate"/>
    <x v="0"/>
    <n v="8"/>
    <x v="0"/>
  </r>
  <r>
    <n v="19"/>
    <x v="3"/>
    <x v="1"/>
    <x v="1"/>
    <x v="0"/>
    <x v="17"/>
    <n v="3.5"/>
    <x v="2"/>
    <x v="3"/>
    <x v="1"/>
    <x v="13"/>
    <x v="0"/>
    <n v="7"/>
    <s v="Sever"/>
    <x v="2"/>
    <n v="5"/>
    <x v="5"/>
  </r>
  <r>
    <n v="20"/>
    <x v="1"/>
    <x v="1"/>
    <x v="0"/>
    <x v="0"/>
    <x v="18"/>
    <n v="4.7"/>
    <x v="0"/>
    <x v="5"/>
    <x v="0"/>
    <x v="14"/>
    <x v="0"/>
    <n v="6"/>
    <s v="Moderate"/>
    <x v="1"/>
    <m/>
    <x v="6"/>
  </r>
  <r>
    <n v="21"/>
    <x v="2"/>
    <x v="0"/>
    <x v="1"/>
    <x v="1"/>
    <x v="19"/>
    <n v="5.3"/>
    <x v="0"/>
    <x v="1"/>
    <x v="0"/>
    <x v="9"/>
    <x v="0"/>
    <n v="5"/>
    <s v="Moderate"/>
    <x v="2"/>
    <n v="8"/>
    <x v="0"/>
  </r>
  <r>
    <n v="22"/>
    <x v="4"/>
    <x v="1"/>
    <x v="0"/>
    <x v="2"/>
    <x v="20"/>
    <n v="2.5"/>
    <x v="2"/>
    <x v="4"/>
    <x v="1"/>
    <x v="15"/>
    <x v="1"/>
    <n v="8"/>
    <s v="Sever"/>
    <x v="0"/>
    <m/>
    <x v="7"/>
  </r>
  <r>
    <n v="23"/>
    <x v="0"/>
    <x v="0"/>
    <x v="1"/>
    <x v="0"/>
    <x v="21"/>
    <n v="4.9000000000000004"/>
    <x v="0"/>
    <x v="0"/>
    <x v="0"/>
    <x v="7"/>
    <x v="0"/>
    <n v="6"/>
    <s v="Moderate"/>
    <x v="1"/>
    <m/>
    <x v="6"/>
  </r>
  <r>
    <n v="24"/>
    <x v="1"/>
    <x v="1"/>
    <x v="0"/>
    <x v="0"/>
    <x v="22"/>
    <n v="5.7"/>
    <x v="0"/>
    <x v="1"/>
    <x v="0"/>
    <x v="16"/>
    <x v="0"/>
    <n v="5"/>
    <s v="Moderate"/>
    <x v="2"/>
    <n v="8"/>
    <x v="0"/>
  </r>
  <r>
    <n v="25"/>
    <x v="5"/>
    <x v="1"/>
    <x v="1"/>
    <x v="2"/>
    <x v="23"/>
    <n v="3.2"/>
    <x v="2"/>
    <x v="3"/>
    <x v="1"/>
    <x v="17"/>
    <x v="0"/>
    <n v="7"/>
    <s v="Sever"/>
    <x v="0"/>
    <n v="5"/>
    <x v="5"/>
  </r>
  <r>
    <n v="26"/>
    <x v="0"/>
    <x v="0"/>
    <x v="0"/>
    <x v="1"/>
    <x v="24"/>
    <n v="6.1"/>
    <x v="1"/>
    <x v="0"/>
    <x v="0"/>
    <x v="18"/>
    <x v="0"/>
    <n v="5"/>
    <s v="Moderate"/>
    <x v="1"/>
    <m/>
    <x v="1"/>
  </r>
  <r>
    <n v="27"/>
    <x v="3"/>
    <x v="1"/>
    <x v="1"/>
    <x v="0"/>
    <x v="25"/>
    <n v="3.8"/>
    <x v="2"/>
    <x v="2"/>
    <x v="1"/>
    <x v="19"/>
    <x v="0"/>
    <n v="7"/>
    <s v="Sever"/>
    <x v="2"/>
    <n v="5"/>
    <x v="5"/>
  </r>
  <r>
    <n v="28"/>
    <x v="1"/>
    <x v="1"/>
    <x v="0"/>
    <x v="0"/>
    <x v="26"/>
    <n v="4.4000000000000004"/>
    <x v="0"/>
    <x v="1"/>
    <x v="0"/>
    <x v="14"/>
    <x v="0"/>
    <n v="6"/>
    <s v="Moderate"/>
    <x v="0"/>
    <n v="7"/>
    <x v="0"/>
  </r>
  <r>
    <n v="29"/>
    <x v="6"/>
    <x v="1"/>
    <x v="1"/>
    <x v="2"/>
    <x v="27"/>
    <n v="2.2000000000000002"/>
    <x v="2"/>
    <x v="4"/>
    <x v="1"/>
    <x v="20"/>
    <x v="1"/>
    <n v="8"/>
    <s v="Sever"/>
    <x v="2"/>
    <m/>
    <x v="8"/>
  </r>
  <r>
    <n v="30"/>
    <x v="0"/>
    <x v="0"/>
    <x v="0"/>
    <x v="1"/>
    <x v="28"/>
    <n v="5.9"/>
    <x v="0"/>
    <x v="0"/>
    <x v="0"/>
    <x v="21"/>
    <x v="0"/>
    <n v="5"/>
    <s v="Moderate"/>
    <x v="1"/>
    <m/>
    <x v="4"/>
  </r>
  <r>
    <n v="31"/>
    <x v="3"/>
    <x v="1"/>
    <x v="1"/>
    <x v="0"/>
    <x v="29"/>
    <n v="3.6"/>
    <x v="2"/>
    <x v="3"/>
    <x v="1"/>
    <x v="13"/>
    <x v="0"/>
    <n v="7"/>
    <s v="Sever"/>
    <x v="2"/>
    <n v="5"/>
    <x v="5"/>
  </r>
  <r>
    <n v="32"/>
    <x v="1"/>
    <x v="1"/>
    <x v="0"/>
    <x v="0"/>
    <x v="30"/>
    <n v="4.8"/>
    <x v="0"/>
    <x v="5"/>
    <x v="0"/>
    <x v="12"/>
    <x v="0"/>
    <n v="6"/>
    <s v="Moderate"/>
    <x v="0"/>
    <m/>
    <x v="6"/>
  </r>
  <r>
    <n v="33"/>
    <x v="2"/>
    <x v="0"/>
    <x v="1"/>
    <x v="1"/>
    <x v="31"/>
    <n v="5.4"/>
    <x v="0"/>
    <x v="1"/>
    <x v="0"/>
    <x v="16"/>
    <x v="0"/>
    <n v="5"/>
    <s v="Moderate"/>
    <x v="1"/>
    <m/>
    <x v="4"/>
  </r>
  <r>
    <n v="34"/>
    <x v="4"/>
    <x v="1"/>
    <x v="0"/>
    <x v="2"/>
    <x v="32"/>
    <n v="2.6"/>
    <x v="2"/>
    <x v="4"/>
    <x v="1"/>
    <x v="8"/>
    <x v="1"/>
    <n v="8"/>
    <s v="Sever"/>
    <x v="2"/>
    <m/>
    <x v="7"/>
  </r>
  <r>
    <n v="35"/>
    <x v="0"/>
    <x v="0"/>
    <x v="1"/>
    <x v="0"/>
    <x v="33"/>
    <n v="4.7"/>
    <x v="0"/>
    <x v="0"/>
    <x v="0"/>
    <x v="7"/>
    <x v="0"/>
    <n v="6"/>
    <s v="Moderate"/>
    <x v="0"/>
    <n v="7"/>
    <x v="0"/>
  </r>
  <r>
    <n v="36"/>
    <x v="1"/>
    <x v="1"/>
    <x v="0"/>
    <x v="0"/>
    <x v="34"/>
    <n v="5.6"/>
    <x v="0"/>
    <x v="1"/>
    <x v="0"/>
    <x v="9"/>
    <x v="0"/>
    <n v="5"/>
    <s v="Moderate"/>
    <x v="1"/>
    <m/>
    <x v="4"/>
  </r>
  <r>
    <n v="37"/>
    <x v="5"/>
    <x v="1"/>
    <x v="1"/>
    <x v="2"/>
    <x v="35"/>
    <n v="3.1"/>
    <x v="2"/>
    <x v="3"/>
    <x v="1"/>
    <x v="10"/>
    <x v="0"/>
    <n v="7"/>
    <s v="Sever"/>
    <x v="2"/>
    <n v="5"/>
    <x v="5"/>
  </r>
  <r>
    <n v="38"/>
    <x v="0"/>
    <x v="0"/>
    <x v="0"/>
    <x v="1"/>
    <x v="36"/>
    <n v="6.2"/>
    <x v="1"/>
    <x v="0"/>
    <x v="0"/>
    <x v="22"/>
    <x v="0"/>
    <n v="5"/>
    <s v="Moderate"/>
    <x v="0"/>
    <n v="9"/>
    <x v="0"/>
  </r>
  <r>
    <n v="39"/>
    <x v="3"/>
    <x v="1"/>
    <x v="1"/>
    <x v="0"/>
    <x v="37"/>
    <n v="3.9"/>
    <x v="2"/>
    <x v="2"/>
    <x v="1"/>
    <x v="0"/>
    <x v="0"/>
    <n v="7"/>
    <s v="Sever"/>
    <x v="1"/>
    <m/>
    <x v="9"/>
  </r>
  <r>
    <n v="40"/>
    <x v="1"/>
    <x v="1"/>
    <x v="0"/>
    <x v="0"/>
    <x v="38"/>
    <n v="4.5"/>
    <x v="0"/>
    <x v="1"/>
    <x v="0"/>
    <x v="7"/>
    <x v="0"/>
    <n v="6"/>
    <s v="Moderate"/>
    <x v="2"/>
    <n v="7"/>
    <x v="0"/>
  </r>
  <r>
    <n v="41"/>
    <x v="6"/>
    <x v="1"/>
    <x v="1"/>
    <x v="2"/>
    <x v="39"/>
    <n v="2.2999999999999998"/>
    <x v="2"/>
    <x v="4"/>
    <x v="1"/>
    <x v="15"/>
    <x v="1"/>
    <n v="8"/>
    <s v="Sever"/>
    <x v="0"/>
    <m/>
    <x v="7"/>
  </r>
  <r>
    <n v="42"/>
    <x v="0"/>
    <x v="0"/>
    <x v="0"/>
    <x v="1"/>
    <x v="40"/>
    <n v="5.8"/>
    <x v="0"/>
    <x v="0"/>
    <x v="0"/>
    <x v="16"/>
    <x v="0"/>
    <n v="5"/>
    <s v="Moderate"/>
    <x v="1"/>
    <m/>
    <x v="4"/>
  </r>
  <r>
    <n v="43"/>
    <x v="3"/>
    <x v="1"/>
    <x v="1"/>
    <x v="0"/>
    <x v="41"/>
    <n v="3.7"/>
    <x v="2"/>
    <x v="3"/>
    <x v="1"/>
    <x v="19"/>
    <x v="0"/>
    <n v="7"/>
    <s v="Sever"/>
    <x v="2"/>
    <n v="5"/>
    <x v="5"/>
  </r>
  <r>
    <n v="44"/>
    <x v="1"/>
    <x v="1"/>
    <x v="0"/>
    <x v="0"/>
    <x v="42"/>
    <n v="4.5999999999999996"/>
    <x v="0"/>
    <x v="5"/>
    <x v="0"/>
    <x v="12"/>
    <x v="0"/>
    <n v="6"/>
    <s v="Moderate"/>
    <x v="0"/>
    <m/>
    <x v="6"/>
  </r>
  <r>
    <n v="45"/>
    <x v="2"/>
    <x v="0"/>
    <x v="1"/>
    <x v="1"/>
    <x v="43"/>
    <n v="5.5"/>
    <x v="0"/>
    <x v="1"/>
    <x v="0"/>
    <x v="21"/>
    <x v="0"/>
    <n v="5"/>
    <s v="Moderate"/>
    <x v="2"/>
    <n v="8"/>
    <x v="0"/>
  </r>
  <r>
    <n v="46"/>
    <x v="4"/>
    <x v="1"/>
    <x v="0"/>
    <x v="2"/>
    <x v="44"/>
    <n v="2.7"/>
    <x v="2"/>
    <x v="4"/>
    <x v="1"/>
    <x v="23"/>
    <x v="1"/>
    <n v="8"/>
    <s v="Sever"/>
    <x v="1"/>
    <m/>
    <x v="7"/>
  </r>
  <r>
    <n v="47"/>
    <x v="0"/>
    <x v="0"/>
    <x v="1"/>
    <x v="0"/>
    <x v="45"/>
    <n v="4.8"/>
    <x v="0"/>
    <x v="0"/>
    <x v="0"/>
    <x v="14"/>
    <x v="0"/>
    <n v="6"/>
    <s v="Moderate"/>
    <x v="0"/>
    <n v="7"/>
    <x v="0"/>
  </r>
  <r>
    <n v="48"/>
    <x v="1"/>
    <x v="1"/>
    <x v="0"/>
    <x v="0"/>
    <x v="46"/>
    <n v="5.5"/>
    <x v="0"/>
    <x v="1"/>
    <x v="0"/>
    <x v="24"/>
    <x v="0"/>
    <n v="5"/>
    <s v="Moderate"/>
    <x v="2"/>
    <n v="8"/>
    <x v="0"/>
  </r>
  <r>
    <n v="49"/>
    <x v="5"/>
    <x v="1"/>
    <x v="1"/>
    <x v="2"/>
    <x v="47"/>
    <n v="3.3"/>
    <x v="2"/>
    <x v="3"/>
    <x v="1"/>
    <x v="13"/>
    <x v="0"/>
    <n v="7"/>
    <s v="Sever"/>
    <x v="0"/>
    <n v="5"/>
    <x v="5"/>
  </r>
  <r>
    <n v="50"/>
    <x v="0"/>
    <x v="0"/>
    <x v="0"/>
    <x v="1"/>
    <x v="48"/>
    <n v="6.3"/>
    <x v="1"/>
    <x v="0"/>
    <x v="0"/>
    <x v="18"/>
    <x v="0"/>
    <n v="5"/>
    <s v="Moderate"/>
    <x v="1"/>
    <m/>
    <x v="1"/>
  </r>
  <r>
    <n v="51"/>
    <x v="3"/>
    <x v="1"/>
    <x v="1"/>
    <x v="0"/>
    <x v="49"/>
    <n v="3.8"/>
    <x v="2"/>
    <x v="2"/>
    <x v="1"/>
    <x v="25"/>
    <x v="0"/>
    <n v="7"/>
    <s v="Sever"/>
    <x v="2"/>
    <n v="6"/>
    <x v="5"/>
  </r>
  <r>
    <n v="52"/>
    <x v="1"/>
    <x v="1"/>
    <x v="0"/>
    <x v="0"/>
    <x v="50"/>
    <n v="4.7"/>
    <x v="0"/>
    <x v="1"/>
    <x v="0"/>
    <x v="7"/>
    <x v="0"/>
    <n v="6"/>
    <s v="Moderate"/>
    <x v="0"/>
    <n v="7"/>
    <x v="0"/>
  </r>
  <r>
    <n v="53"/>
    <x v="6"/>
    <x v="1"/>
    <x v="1"/>
    <x v="2"/>
    <x v="51"/>
    <n v="2.4"/>
    <x v="2"/>
    <x v="4"/>
    <x v="1"/>
    <x v="8"/>
    <x v="1"/>
    <n v="8"/>
    <s v="Sever"/>
    <x v="1"/>
    <m/>
    <x v="7"/>
  </r>
  <r>
    <n v="54"/>
    <x v="0"/>
    <x v="0"/>
    <x v="0"/>
    <x v="1"/>
    <x v="52"/>
    <n v="5.7"/>
    <x v="0"/>
    <x v="0"/>
    <x v="0"/>
    <x v="9"/>
    <x v="0"/>
    <n v="5"/>
    <s v="Moderate"/>
    <x v="2"/>
    <n v="8"/>
    <x v="0"/>
  </r>
  <r>
    <n v="55"/>
    <x v="3"/>
    <x v="1"/>
    <x v="1"/>
    <x v="0"/>
    <x v="53"/>
    <n v="3.6"/>
    <x v="2"/>
    <x v="3"/>
    <x v="1"/>
    <x v="0"/>
    <x v="0"/>
    <n v="7"/>
    <s v="Sever"/>
    <x v="0"/>
    <n v="5"/>
    <x v="5"/>
  </r>
  <r>
    <n v="56"/>
    <x v="1"/>
    <x v="1"/>
    <x v="0"/>
    <x v="0"/>
    <x v="54"/>
    <n v="4.9000000000000004"/>
    <x v="0"/>
    <x v="5"/>
    <x v="0"/>
    <x v="24"/>
    <x v="0"/>
    <n v="6"/>
    <s v="Moderate"/>
    <x v="1"/>
    <m/>
    <x v="6"/>
  </r>
  <r>
    <n v="57"/>
    <x v="2"/>
    <x v="0"/>
    <x v="1"/>
    <x v="1"/>
    <x v="55"/>
    <n v="5.6"/>
    <x v="0"/>
    <x v="1"/>
    <x v="0"/>
    <x v="18"/>
    <x v="0"/>
    <n v="5"/>
    <s v="Moderate"/>
    <x v="2"/>
    <n v="8"/>
    <x v="0"/>
  </r>
  <r>
    <n v="58"/>
    <x v="4"/>
    <x v="1"/>
    <x v="0"/>
    <x v="2"/>
    <x v="56"/>
    <n v="2.8"/>
    <x v="2"/>
    <x v="4"/>
    <x v="1"/>
    <x v="2"/>
    <x v="1"/>
    <n v="8"/>
    <s v="Sever"/>
    <x v="0"/>
    <m/>
    <x v="7"/>
  </r>
  <r>
    <n v="59"/>
    <x v="0"/>
    <x v="0"/>
    <x v="1"/>
    <x v="0"/>
    <x v="57"/>
    <n v="4.5999999999999996"/>
    <x v="0"/>
    <x v="0"/>
    <x v="0"/>
    <x v="14"/>
    <x v="0"/>
    <n v="6"/>
    <s v="Moderate"/>
    <x v="1"/>
    <m/>
    <x v="6"/>
  </r>
  <r>
    <n v="60"/>
    <x v="1"/>
    <x v="1"/>
    <x v="0"/>
    <x v="0"/>
    <x v="58"/>
    <n v="5.4"/>
    <x v="0"/>
    <x v="1"/>
    <x v="0"/>
    <x v="12"/>
    <x v="0"/>
    <n v="5"/>
    <s v="Moderate"/>
    <x v="2"/>
    <n v="8"/>
    <x v="0"/>
  </r>
  <r>
    <n v="61"/>
    <x v="5"/>
    <x v="1"/>
    <x v="1"/>
    <x v="2"/>
    <x v="59"/>
    <n v="3.1"/>
    <x v="2"/>
    <x v="3"/>
    <x v="1"/>
    <x v="23"/>
    <x v="1"/>
    <n v="7"/>
    <s v="Sever"/>
    <x v="2"/>
    <n v="5"/>
    <x v="5"/>
  </r>
  <r>
    <n v="62"/>
    <x v="0"/>
    <x v="0"/>
    <x v="0"/>
    <x v="0"/>
    <x v="60"/>
    <n v="5.6"/>
    <x v="0"/>
    <x v="0"/>
    <x v="0"/>
    <x v="24"/>
    <x v="0"/>
    <n v="5"/>
    <s v="Moderate"/>
    <x v="0"/>
    <n v="8"/>
    <x v="0"/>
  </r>
  <r>
    <n v="63"/>
    <x v="1"/>
    <x v="1"/>
    <x v="1"/>
    <x v="0"/>
    <x v="61"/>
    <n v="4.2"/>
    <x v="0"/>
    <x v="1"/>
    <x v="0"/>
    <x v="3"/>
    <x v="0"/>
    <n v="6"/>
    <s v="Moderate"/>
    <x v="1"/>
    <m/>
    <x v="6"/>
  </r>
  <r>
    <n v="64"/>
    <x v="2"/>
    <x v="0"/>
    <x v="0"/>
    <x v="1"/>
    <x v="62"/>
    <n v="6.1"/>
    <x v="1"/>
    <x v="5"/>
    <x v="0"/>
    <x v="18"/>
    <x v="0"/>
    <n v="4"/>
    <s v="Mild"/>
    <x v="2"/>
    <m/>
    <x v="1"/>
  </r>
  <r>
    <n v="65"/>
    <x v="4"/>
    <x v="1"/>
    <x v="1"/>
    <x v="2"/>
    <x v="63"/>
    <n v="2.2999999999999998"/>
    <x v="2"/>
    <x v="4"/>
    <x v="1"/>
    <x v="20"/>
    <x v="1"/>
    <n v="8"/>
    <s v="Sever"/>
    <x v="0"/>
    <m/>
    <x v="8"/>
  </r>
  <r>
    <n v="66"/>
    <x v="3"/>
    <x v="1"/>
    <x v="0"/>
    <x v="0"/>
    <x v="64"/>
    <n v="4.8"/>
    <x v="0"/>
    <x v="0"/>
    <x v="0"/>
    <x v="7"/>
    <x v="0"/>
    <n v="6"/>
    <s v="Moderate"/>
    <x v="2"/>
    <n v="7"/>
    <x v="0"/>
  </r>
  <r>
    <n v="67"/>
    <x v="1"/>
    <x v="1"/>
    <x v="1"/>
    <x v="0"/>
    <x v="65"/>
    <n v="3.9"/>
    <x v="2"/>
    <x v="2"/>
    <x v="1"/>
    <x v="0"/>
    <x v="0"/>
    <n v="7"/>
    <s v="Sever"/>
    <x v="1"/>
    <m/>
    <x v="9"/>
  </r>
  <r>
    <n v="68"/>
    <x v="0"/>
    <x v="0"/>
    <x v="0"/>
    <x v="1"/>
    <x v="66"/>
    <n v="5.7"/>
    <x v="0"/>
    <x v="1"/>
    <x v="0"/>
    <x v="16"/>
    <x v="0"/>
    <n v="5"/>
    <s v="Moderate"/>
    <x v="0"/>
    <n v="8"/>
    <x v="0"/>
  </r>
  <r>
    <n v="69"/>
    <x v="5"/>
    <x v="1"/>
    <x v="1"/>
    <x v="2"/>
    <x v="67"/>
    <n v="2.8"/>
    <x v="2"/>
    <x v="4"/>
    <x v="1"/>
    <x v="8"/>
    <x v="1"/>
    <n v="8"/>
    <s v="Sever"/>
    <x v="2"/>
    <m/>
    <x v="7"/>
  </r>
  <r>
    <n v="70"/>
    <x v="1"/>
    <x v="1"/>
    <x v="0"/>
    <x v="0"/>
    <x v="68"/>
    <n v="4.5"/>
    <x v="0"/>
    <x v="0"/>
    <x v="0"/>
    <x v="14"/>
    <x v="0"/>
    <n v="6"/>
    <s v="Moderate"/>
    <x v="1"/>
    <m/>
    <x v="6"/>
  </r>
  <r>
    <n v="71"/>
    <x v="2"/>
    <x v="0"/>
    <x v="1"/>
    <x v="1"/>
    <x v="69"/>
    <n v="5.4"/>
    <x v="0"/>
    <x v="5"/>
    <x v="0"/>
    <x v="9"/>
    <x v="0"/>
    <n v="5"/>
    <s v="Moderate"/>
    <x v="2"/>
    <m/>
    <x v="4"/>
  </r>
  <r>
    <n v="72"/>
    <x v="3"/>
    <x v="1"/>
    <x v="0"/>
    <x v="2"/>
    <x v="70"/>
    <n v="3.2"/>
    <x v="2"/>
    <x v="3"/>
    <x v="1"/>
    <x v="10"/>
    <x v="0"/>
    <n v="7"/>
    <s v="Sever"/>
    <x v="0"/>
    <n v="5"/>
    <x v="5"/>
  </r>
  <r>
    <n v="73"/>
    <x v="0"/>
    <x v="0"/>
    <x v="1"/>
    <x v="0"/>
    <x v="71"/>
    <n v="4.9000000000000004"/>
    <x v="0"/>
    <x v="1"/>
    <x v="0"/>
    <x v="12"/>
    <x v="0"/>
    <n v="6"/>
    <s v="Moderate"/>
    <x v="1"/>
    <m/>
    <x v="6"/>
  </r>
  <r>
    <n v="74"/>
    <x v="1"/>
    <x v="1"/>
    <x v="0"/>
    <x v="0"/>
    <x v="72"/>
    <n v="5.8"/>
    <x v="0"/>
    <x v="0"/>
    <x v="0"/>
    <x v="21"/>
    <x v="0"/>
    <n v="5"/>
    <s v="Moderate"/>
    <x v="2"/>
    <n v="8"/>
    <x v="0"/>
  </r>
  <r>
    <n v="75"/>
    <x v="4"/>
    <x v="1"/>
    <x v="1"/>
    <x v="2"/>
    <x v="73"/>
    <n v="2.5"/>
    <x v="2"/>
    <x v="4"/>
    <x v="1"/>
    <x v="15"/>
    <x v="1"/>
    <n v="8"/>
    <s v="Sever"/>
    <x v="0"/>
    <m/>
    <x v="7"/>
  </r>
  <r>
    <n v="76"/>
    <x v="3"/>
    <x v="1"/>
    <x v="0"/>
    <x v="0"/>
    <x v="74"/>
    <n v="4.5999999999999996"/>
    <x v="0"/>
    <x v="5"/>
    <x v="0"/>
    <x v="7"/>
    <x v="0"/>
    <n v="6"/>
    <s v="Moderate"/>
    <x v="2"/>
    <m/>
    <x v="6"/>
  </r>
  <r>
    <n v="77"/>
    <x v="0"/>
    <x v="0"/>
    <x v="1"/>
    <x v="1"/>
    <x v="75"/>
    <n v="5.5"/>
    <x v="0"/>
    <x v="1"/>
    <x v="0"/>
    <x v="16"/>
    <x v="0"/>
    <n v="5"/>
    <s v="Moderate"/>
    <x v="1"/>
    <m/>
    <x v="4"/>
  </r>
  <r>
    <n v="78"/>
    <x v="5"/>
    <x v="1"/>
    <x v="0"/>
    <x v="2"/>
    <x v="76"/>
    <n v="2.9"/>
    <x v="2"/>
    <x v="3"/>
    <x v="1"/>
    <x v="2"/>
    <x v="1"/>
    <n v="7"/>
    <s v="Sever"/>
    <x v="0"/>
    <n v="5"/>
    <x v="5"/>
  </r>
  <r>
    <n v="79"/>
    <x v="1"/>
    <x v="1"/>
    <x v="1"/>
    <x v="0"/>
    <x v="77"/>
    <n v="4.7"/>
    <x v="0"/>
    <x v="2"/>
    <x v="0"/>
    <x v="14"/>
    <x v="0"/>
    <n v="6"/>
    <s v="Moderate"/>
    <x v="2"/>
    <n v="7"/>
    <x v="0"/>
  </r>
  <r>
    <n v="80"/>
    <x v="2"/>
    <x v="0"/>
    <x v="0"/>
    <x v="1"/>
    <x v="78"/>
    <n v="5.9"/>
    <x v="0"/>
    <x v="0"/>
    <x v="0"/>
    <x v="18"/>
    <x v="0"/>
    <n v="5"/>
    <s v="Moderate"/>
    <x v="1"/>
    <m/>
    <x v="1"/>
  </r>
  <r>
    <n v="81"/>
    <x v="3"/>
    <x v="1"/>
    <x v="1"/>
    <x v="2"/>
    <x v="79"/>
    <n v="3"/>
    <x v="2"/>
    <x v="4"/>
    <x v="1"/>
    <x v="23"/>
    <x v="1"/>
    <n v="8"/>
    <s v="Sever"/>
    <x v="0"/>
    <m/>
    <x v="7"/>
  </r>
  <r>
    <n v="82"/>
    <x v="0"/>
    <x v="0"/>
    <x v="0"/>
    <x v="0"/>
    <x v="80"/>
    <n v="4.8"/>
    <x v="0"/>
    <x v="1"/>
    <x v="0"/>
    <x v="12"/>
    <x v="0"/>
    <n v="6"/>
    <s v="Moderate"/>
    <x v="2"/>
    <n v="7"/>
    <x v="0"/>
  </r>
  <r>
    <n v="83"/>
    <x v="1"/>
    <x v="1"/>
    <x v="1"/>
    <x v="0"/>
    <x v="81"/>
    <n v="3.8"/>
    <x v="2"/>
    <x v="3"/>
    <x v="1"/>
    <x v="19"/>
    <x v="0"/>
    <n v="7"/>
    <s v="Sever"/>
    <x v="1"/>
    <m/>
    <x v="9"/>
  </r>
  <r>
    <n v="84"/>
    <x v="5"/>
    <x v="1"/>
    <x v="0"/>
    <x v="2"/>
    <x v="82"/>
    <n v="2.7"/>
    <x v="2"/>
    <x v="4"/>
    <x v="1"/>
    <x v="8"/>
    <x v="1"/>
    <n v="8"/>
    <s v="Sever"/>
    <x v="0"/>
    <m/>
    <x v="7"/>
  </r>
  <r>
    <n v="85"/>
    <x v="2"/>
    <x v="0"/>
    <x v="1"/>
    <x v="1"/>
    <x v="83"/>
    <n v="5.6"/>
    <x v="0"/>
    <x v="5"/>
    <x v="0"/>
    <x v="21"/>
    <x v="0"/>
    <n v="5"/>
    <s v="Moderate"/>
    <x v="2"/>
    <m/>
    <x v="4"/>
  </r>
  <r>
    <n v="86"/>
    <x v="3"/>
    <x v="1"/>
    <x v="0"/>
    <x v="0"/>
    <x v="84"/>
    <n v="4.5"/>
    <x v="0"/>
    <x v="0"/>
    <x v="0"/>
    <x v="7"/>
    <x v="0"/>
    <n v="6"/>
    <s v="Moderate"/>
    <x v="1"/>
    <m/>
    <x v="6"/>
  </r>
  <r>
    <n v="87"/>
    <x v="0"/>
    <x v="0"/>
    <x v="1"/>
    <x v="1"/>
    <x v="85"/>
    <n v="5.3"/>
    <x v="0"/>
    <x v="1"/>
    <x v="0"/>
    <x v="9"/>
    <x v="0"/>
    <n v="5"/>
    <s v="Moderate"/>
    <x v="0"/>
    <n v="8"/>
    <x v="0"/>
  </r>
  <r>
    <n v="88"/>
    <x v="4"/>
    <x v="1"/>
    <x v="0"/>
    <x v="2"/>
    <x v="86"/>
    <n v="2.6"/>
    <x v="2"/>
    <x v="4"/>
    <x v="1"/>
    <x v="15"/>
    <x v="1"/>
    <n v="8"/>
    <s v="Sever"/>
    <x v="2"/>
    <m/>
    <x v="7"/>
  </r>
  <r>
    <n v="89"/>
    <x v="1"/>
    <x v="1"/>
    <x v="1"/>
    <x v="0"/>
    <x v="87"/>
    <n v="4.4000000000000004"/>
    <x v="0"/>
    <x v="2"/>
    <x v="0"/>
    <x v="3"/>
    <x v="0"/>
    <n v="6"/>
    <s v="Moderate"/>
    <x v="1"/>
    <m/>
    <x v="6"/>
  </r>
  <r>
    <n v="90"/>
    <x v="2"/>
    <x v="0"/>
    <x v="0"/>
    <x v="1"/>
    <x v="88"/>
    <n v="5.8"/>
    <x v="0"/>
    <x v="0"/>
    <x v="0"/>
    <x v="18"/>
    <x v="0"/>
    <n v="5"/>
    <s v="Moderate"/>
    <x v="2"/>
    <n v="9"/>
    <x v="0"/>
  </r>
  <r>
    <n v="91"/>
    <x v="5"/>
    <x v="1"/>
    <x v="1"/>
    <x v="2"/>
    <x v="89"/>
    <n v="2.9"/>
    <x v="2"/>
    <x v="3"/>
    <x v="1"/>
    <x v="2"/>
    <x v="1"/>
    <n v="7"/>
    <s v="Sever"/>
    <x v="0"/>
    <n v="5"/>
    <x v="5"/>
  </r>
  <r>
    <n v="92"/>
    <x v="0"/>
    <x v="0"/>
    <x v="0"/>
    <x v="0"/>
    <x v="90"/>
    <n v="4.7"/>
    <x v="0"/>
    <x v="1"/>
    <x v="0"/>
    <x v="7"/>
    <x v="0"/>
    <n v="6"/>
    <s v="Moderate"/>
    <x v="1"/>
    <m/>
    <x v="6"/>
  </r>
  <r>
    <n v="93"/>
    <x v="3"/>
    <x v="1"/>
    <x v="1"/>
    <x v="0"/>
    <x v="91"/>
    <n v="3.7"/>
    <x v="2"/>
    <x v="5"/>
    <x v="1"/>
    <x v="0"/>
    <x v="0"/>
    <n v="7"/>
    <s v="Sever"/>
    <x v="2"/>
    <m/>
    <x v="9"/>
  </r>
  <r>
    <n v="94"/>
    <x v="1"/>
    <x v="1"/>
    <x v="0"/>
    <x v="1"/>
    <x v="92"/>
    <n v="5.5"/>
    <x v="0"/>
    <x v="0"/>
    <x v="0"/>
    <x v="16"/>
    <x v="0"/>
    <n v="5"/>
    <s v="Moderate"/>
    <x v="0"/>
    <n v="8"/>
    <x v="0"/>
  </r>
  <r>
    <n v="95"/>
    <x v="4"/>
    <x v="1"/>
    <x v="1"/>
    <x v="2"/>
    <x v="93"/>
    <n v="2.4"/>
    <x v="2"/>
    <x v="4"/>
    <x v="1"/>
    <x v="20"/>
    <x v="1"/>
    <n v="8"/>
    <s v="Sever"/>
    <x v="1"/>
    <m/>
    <x v="7"/>
  </r>
  <r>
    <n v="96"/>
    <x v="0"/>
    <x v="0"/>
    <x v="0"/>
    <x v="0"/>
    <x v="94"/>
    <n v="4.9000000000000004"/>
    <x v="0"/>
    <x v="1"/>
    <x v="0"/>
    <x v="12"/>
    <x v="0"/>
    <n v="6"/>
    <s v="Moderate"/>
    <x v="2"/>
    <n v="7"/>
    <x v="0"/>
  </r>
  <r>
    <n v="97"/>
    <x v="2"/>
    <x v="0"/>
    <x v="1"/>
    <x v="1"/>
    <x v="95"/>
    <n v="5.7"/>
    <x v="0"/>
    <x v="5"/>
    <x v="0"/>
    <x v="21"/>
    <x v="0"/>
    <n v="5"/>
    <s v="Moderate"/>
    <x v="0"/>
    <m/>
    <x v="4"/>
  </r>
  <r>
    <n v="98"/>
    <x v="5"/>
    <x v="1"/>
    <x v="0"/>
    <x v="2"/>
    <x v="96"/>
    <n v="2.8"/>
    <x v="2"/>
    <x v="4"/>
    <x v="1"/>
    <x v="23"/>
    <x v="1"/>
    <n v="8"/>
    <s v="Sever"/>
    <x v="1"/>
    <m/>
    <x v="7"/>
  </r>
  <r>
    <n v="99"/>
    <x v="1"/>
    <x v="1"/>
    <x v="1"/>
    <x v="0"/>
    <x v="97"/>
    <n v="4.5999999999999996"/>
    <x v="0"/>
    <x v="0"/>
    <x v="0"/>
    <x v="14"/>
    <x v="0"/>
    <n v="6"/>
    <s v="Moderate"/>
    <x v="2"/>
    <n v="7"/>
    <x v="0"/>
  </r>
  <r>
    <n v="100"/>
    <x v="3"/>
    <x v="1"/>
    <x v="0"/>
    <x v="0"/>
    <x v="98"/>
    <n v="5.4"/>
    <x v="0"/>
    <x v="1"/>
    <x v="0"/>
    <x v="9"/>
    <x v="0"/>
    <n v="5"/>
    <s v="Moderate"/>
    <x v="0"/>
    <n v="8"/>
    <x v="0"/>
  </r>
  <r>
    <n v="101"/>
    <x v="0"/>
    <x v="0"/>
    <x v="1"/>
    <x v="1"/>
    <x v="99"/>
    <n v="5.8"/>
    <x v="0"/>
    <x v="2"/>
    <x v="0"/>
    <x v="18"/>
    <x v="0"/>
    <n v="5"/>
    <s v="Moderate"/>
    <x v="1"/>
    <m/>
    <x v="1"/>
  </r>
  <r>
    <n v="102"/>
    <x v="4"/>
    <x v="1"/>
    <x v="0"/>
    <x v="2"/>
    <x v="100"/>
    <n v="2.5"/>
    <x v="2"/>
    <x v="4"/>
    <x v="1"/>
    <x v="15"/>
    <x v="1"/>
    <n v="8"/>
    <s v="Sever"/>
    <x v="2"/>
    <m/>
    <x v="7"/>
  </r>
  <r>
    <n v="103"/>
    <x v="1"/>
    <x v="1"/>
    <x v="1"/>
    <x v="0"/>
    <x v="101"/>
    <n v="4.7"/>
    <x v="0"/>
    <x v="3"/>
    <x v="0"/>
    <x v="7"/>
    <x v="0"/>
    <n v="6"/>
    <s v="Moderate"/>
    <x v="0"/>
    <n v="7"/>
    <x v="0"/>
  </r>
  <r>
    <n v="104"/>
    <x v="2"/>
    <x v="0"/>
    <x v="0"/>
    <x v="1"/>
    <x v="102"/>
    <n v="5.6"/>
    <x v="0"/>
    <x v="0"/>
    <x v="0"/>
    <x v="16"/>
    <x v="0"/>
    <n v="5"/>
    <s v="Moderate"/>
    <x v="2"/>
    <n v="8"/>
    <x v="0"/>
  </r>
  <r>
    <n v="105"/>
    <x v="5"/>
    <x v="1"/>
    <x v="1"/>
    <x v="2"/>
    <x v="103"/>
    <n v="2.9"/>
    <x v="2"/>
    <x v="4"/>
    <x v="1"/>
    <x v="2"/>
    <x v="1"/>
    <n v="7"/>
    <s v="Sever"/>
    <x v="1"/>
    <m/>
    <x v="10"/>
  </r>
  <r>
    <n v="106"/>
    <x v="0"/>
    <x v="0"/>
    <x v="0"/>
    <x v="0"/>
    <x v="104"/>
    <n v="4.8"/>
    <x v="0"/>
    <x v="1"/>
    <x v="0"/>
    <x v="12"/>
    <x v="0"/>
    <n v="6"/>
    <s v="Moderate"/>
    <x v="0"/>
    <n v="7"/>
    <x v="0"/>
  </r>
  <r>
    <n v="107"/>
    <x v="3"/>
    <x v="1"/>
    <x v="1"/>
    <x v="0"/>
    <x v="105"/>
    <n v="3.8"/>
    <x v="2"/>
    <x v="2"/>
    <x v="1"/>
    <x v="19"/>
    <x v="0"/>
    <n v="7"/>
    <s v="Sever"/>
    <x v="2"/>
    <n v="6"/>
    <x v="5"/>
  </r>
  <r>
    <n v="108"/>
    <x v="1"/>
    <x v="1"/>
    <x v="0"/>
    <x v="1"/>
    <x v="106"/>
    <n v="5.5"/>
    <x v="0"/>
    <x v="5"/>
    <x v="0"/>
    <x v="9"/>
    <x v="0"/>
    <n v="5"/>
    <s v="Moderate"/>
    <x v="1"/>
    <m/>
    <x v="4"/>
  </r>
  <r>
    <n v="109"/>
    <x v="4"/>
    <x v="1"/>
    <x v="1"/>
    <x v="2"/>
    <x v="107"/>
    <n v="2.6"/>
    <x v="2"/>
    <x v="4"/>
    <x v="1"/>
    <x v="8"/>
    <x v="1"/>
    <n v="8"/>
    <s v="Sever"/>
    <x v="0"/>
    <m/>
    <x v="7"/>
  </r>
  <r>
    <n v="110"/>
    <x v="0"/>
    <x v="0"/>
    <x v="0"/>
    <x v="0"/>
    <x v="108"/>
    <n v="4.9000000000000004"/>
    <x v="0"/>
    <x v="0"/>
    <x v="0"/>
    <x v="7"/>
    <x v="0"/>
    <n v="6"/>
    <s v="Moderate"/>
    <x v="2"/>
    <n v="7"/>
    <x v="0"/>
  </r>
  <r>
    <n v="111"/>
    <x v="1"/>
    <x v="1"/>
    <x v="1"/>
    <x v="0"/>
    <x v="0"/>
    <n v="6.1"/>
    <x v="1"/>
    <x v="0"/>
    <x v="0"/>
    <x v="6"/>
    <x v="0"/>
    <n v="5"/>
    <s v="Moderate"/>
    <x v="2"/>
    <n v="8"/>
    <x v="0"/>
  </r>
  <r>
    <n v="112"/>
    <x v="3"/>
    <x v="1"/>
    <x v="0"/>
    <x v="0"/>
    <x v="109"/>
    <n v="5.8"/>
    <x v="0"/>
    <x v="1"/>
    <x v="0"/>
    <x v="14"/>
    <x v="0"/>
    <n v="6"/>
    <s v="Moderate"/>
    <x v="0"/>
    <n v="7"/>
    <x v="0"/>
  </r>
  <r>
    <n v="113"/>
    <x v="0"/>
    <x v="0"/>
    <x v="1"/>
    <x v="0"/>
    <x v="105"/>
    <n v="4.9000000000000004"/>
    <x v="0"/>
    <x v="3"/>
    <x v="1"/>
    <x v="23"/>
    <x v="1"/>
    <n v="7"/>
    <s v="Sever"/>
    <x v="2"/>
    <n v="5"/>
    <x v="5"/>
  </r>
  <r>
    <n v="114"/>
    <x v="5"/>
    <x v="1"/>
    <x v="0"/>
    <x v="2"/>
    <x v="104"/>
    <n v="5.5"/>
    <x v="0"/>
    <x v="0"/>
    <x v="0"/>
    <x v="3"/>
    <x v="0"/>
    <n v="5"/>
    <s v="Moderate"/>
    <x v="2"/>
    <n v="8"/>
    <x v="0"/>
  </r>
  <r>
    <n v="115"/>
    <x v="1"/>
    <x v="1"/>
    <x v="1"/>
    <x v="0"/>
    <x v="107"/>
    <n v="5.2"/>
    <x v="0"/>
    <x v="1"/>
    <x v="0"/>
    <x v="26"/>
    <x v="0"/>
    <n v="6"/>
    <s v="Moderate"/>
    <x v="0"/>
    <n v="7"/>
    <x v="0"/>
  </r>
  <r>
    <n v="116"/>
    <x v="0"/>
    <x v="0"/>
    <x v="0"/>
    <x v="0"/>
    <x v="108"/>
    <n v="4.8"/>
    <x v="0"/>
    <x v="0"/>
    <x v="1"/>
    <x v="8"/>
    <x v="1"/>
    <n v="8"/>
    <s v="Sever"/>
    <x v="2"/>
    <n v="5"/>
    <x v="5"/>
  </r>
  <r>
    <n v="117"/>
    <x v="3"/>
    <x v="1"/>
    <x v="1"/>
    <x v="2"/>
    <x v="0"/>
    <n v="6"/>
    <x v="1"/>
    <x v="3"/>
    <x v="0"/>
    <x v="7"/>
    <x v="0"/>
    <n v="5"/>
    <s v="Moderate"/>
    <x v="0"/>
    <n v="8"/>
    <x v="0"/>
  </r>
  <r>
    <n v="118"/>
    <x v="1"/>
    <x v="1"/>
    <x v="0"/>
    <x v="0"/>
    <x v="109"/>
    <n v="5.7"/>
    <x v="0"/>
    <x v="0"/>
    <x v="0"/>
    <x v="27"/>
    <x v="0"/>
    <n v="6"/>
    <s v="Moderate"/>
    <x v="2"/>
    <n v="7"/>
    <x v="0"/>
  </r>
  <r>
    <n v="119"/>
    <x v="5"/>
    <x v="1"/>
    <x v="1"/>
    <x v="2"/>
    <x v="105"/>
    <n v="4.7"/>
    <x v="0"/>
    <x v="1"/>
    <x v="1"/>
    <x v="15"/>
    <x v="1"/>
    <n v="7"/>
    <s v="Sever"/>
    <x v="2"/>
    <n v="5"/>
    <x v="5"/>
  </r>
  <r>
    <n v="120"/>
    <x v="0"/>
    <x v="0"/>
    <x v="0"/>
    <x v="0"/>
    <x v="104"/>
    <n v="5.4"/>
    <x v="0"/>
    <x v="0"/>
    <x v="0"/>
    <x v="6"/>
    <x v="0"/>
    <n v="5"/>
    <s v="Moderate"/>
    <x v="0"/>
    <n v="8"/>
    <x v="0"/>
  </r>
  <r>
    <n v="121"/>
    <x v="1"/>
    <x v="1"/>
    <x v="1"/>
    <x v="0"/>
    <x v="107"/>
    <n v="5.9"/>
    <x v="0"/>
    <x v="3"/>
    <x v="0"/>
    <x v="14"/>
    <x v="0"/>
    <n v="6"/>
    <s v="Moderate"/>
    <x v="2"/>
    <n v="7"/>
    <x v="0"/>
  </r>
  <r>
    <n v="122"/>
    <x v="3"/>
    <x v="1"/>
    <x v="0"/>
    <x v="2"/>
    <x v="108"/>
    <n v="4.5999999999999996"/>
    <x v="0"/>
    <x v="0"/>
    <x v="1"/>
    <x v="20"/>
    <x v="1"/>
    <n v="8"/>
    <s v="Sever"/>
    <x v="0"/>
    <n v="5"/>
    <x v="5"/>
  </r>
  <r>
    <n v="123"/>
    <x v="0"/>
    <x v="0"/>
    <x v="1"/>
    <x v="0"/>
    <x v="0"/>
    <n v="5.3"/>
    <x v="0"/>
    <x v="1"/>
    <x v="0"/>
    <x v="26"/>
    <x v="0"/>
    <n v="5"/>
    <s v="Moderate"/>
    <x v="2"/>
    <n v="8"/>
    <x v="0"/>
  </r>
  <r>
    <n v="124"/>
    <x v="5"/>
    <x v="1"/>
    <x v="0"/>
    <x v="2"/>
    <x v="109"/>
    <n v="5.8"/>
    <x v="0"/>
    <x v="0"/>
    <x v="0"/>
    <x v="7"/>
    <x v="0"/>
    <n v="6"/>
    <s v="Moderate"/>
    <x v="0"/>
    <n v="7"/>
    <x v="0"/>
  </r>
  <r>
    <n v="125"/>
    <x v="1"/>
    <x v="1"/>
    <x v="1"/>
    <x v="0"/>
    <x v="105"/>
    <n v="4.5"/>
    <x v="0"/>
    <x v="3"/>
    <x v="1"/>
    <x v="28"/>
    <x v="1"/>
    <n v="7"/>
    <s v="Sever"/>
    <x v="2"/>
    <n v="5"/>
    <x v="5"/>
  </r>
  <r>
    <n v="126"/>
    <x v="3"/>
    <x v="1"/>
    <x v="0"/>
    <x v="2"/>
    <x v="104"/>
    <n v="5.2"/>
    <x v="0"/>
    <x v="0"/>
    <x v="0"/>
    <x v="25"/>
    <x v="0"/>
    <n v="5"/>
    <s v="Moderate"/>
    <x v="0"/>
    <n v="8"/>
    <x v="0"/>
  </r>
  <r>
    <n v="127"/>
    <x v="0"/>
    <x v="0"/>
    <x v="1"/>
    <x v="0"/>
    <x v="107"/>
    <n v="5.7"/>
    <x v="0"/>
    <x v="1"/>
    <x v="0"/>
    <x v="12"/>
    <x v="0"/>
    <n v="6"/>
    <s v="Moderate"/>
    <x v="2"/>
    <n v="7"/>
    <x v="0"/>
  </r>
  <r>
    <n v="128"/>
    <x v="1"/>
    <x v="1"/>
    <x v="0"/>
    <x v="0"/>
    <x v="108"/>
    <n v="4.4000000000000004"/>
    <x v="0"/>
    <x v="0"/>
    <x v="1"/>
    <x v="29"/>
    <x v="1"/>
    <n v="8"/>
    <s v="Sever"/>
    <x v="0"/>
    <n v="5"/>
    <x v="5"/>
  </r>
  <r>
    <n v="129"/>
    <x v="5"/>
    <x v="1"/>
    <x v="1"/>
    <x v="2"/>
    <x v="0"/>
    <n v="5.0999999999999996"/>
    <x v="0"/>
    <x v="3"/>
    <x v="0"/>
    <x v="0"/>
    <x v="0"/>
    <n v="5"/>
    <s v="Moderate"/>
    <x v="2"/>
    <n v="8"/>
    <x v="0"/>
  </r>
  <r>
    <n v="130"/>
    <x v="3"/>
    <x v="1"/>
    <x v="0"/>
    <x v="2"/>
    <x v="109"/>
    <n v="5.6"/>
    <x v="0"/>
    <x v="0"/>
    <x v="0"/>
    <x v="24"/>
    <x v="0"/>
    <n v="6"/>
    <s v="Moderate"/>
    <x v="0"/>
    <n v="7"/>
    <x v="0"/>
  </r>
  <r>
    <n v="131"/>
    <x v="0"/>
    <x v="0"/>
    <x v="1"/>
    <x v="0"/>
    <x v="105"/>
    <n v="4.3"/>
    <x v="0"/>
    <x v="1"/>
    <x v="1"/>
    <x v="30"/>
    <x v="1"/>
    <n v="7"/>
    <s v="Sever"/>
    <x v="2"/>
    <n v="5"/>
    <x v="5"/>
  </r>
  <r>
    <n v="132"/>
    <x v="1"/>
    <x v="1"/>
    <x v="0"/>
    <x v="0"/>
    <x v="104"/>
    <n v="5"/>
    <x v="0"/>
    <x v="0"/>
    <x v="0"/>
    <x v="19"/>
    <x v="0"/>
    <n v="5"/>
    <s v="Moderate"/>
    <x v="0"/>
    <n v="8"/>
    <x v="0"/>
  </r>
  <r>
    <n v="133"/>
    <x v="5"/>
    <x v="1"/>
    <x v="1"/>
    <x v="2"/>
    <x v="107"/>
    <n v="5.5"/>
    <x v="0"/>
    <x v="3"/>
    <x v="0"/>
    <x v="9"/>
    <x v="0"/>
    <n v="6"/>
    <s v="Moderate"/>
    <x v="2"/>
    <n v="7"/>
    <x v="0"/>
  </r>
  <r>
    <n v="134"/>
    <x v="3"/>
    <x v="1"/>
    <x v="0"/>
    <x v="2"/>
    <x v="108"/>
    <n v="4.2"/>
    <x v="0"/>
    <x v="0"/>
    <x v="1"/>
    <x v="11"/>
    <x v="1"/>
    <n v="8"/>
    <s v="Sever"/>
    <x v="0"/>
    <n v="5"/>
    <x v="5"/>
  </r>
  <r>
    <n v="135"/>
    <x v="0"/>
    <x v="0"/>
    <x v="1"/>
    <x v="0"/>
    <x v="0"/>
    <n v="4.9000000000000004"/>
    <x v="0"/>
    <x v="1"/>
    <x v="0"/>
    <x v="13"/>
    <x v="0"/>
    <n v="5"/>
    <s v="Moderate"/>
    <x v="2"/>
    <n v="8"/>
    <x v="0"/>
  </r>
  <r>
    <n v="136"/>
    <x v="1"/>
    <x v="1"/>
    <x v="0"/>
    <x v="0"/>
    <x v="109"/>
    <n v="5.4"/>
    <x v="0"/>
    <x v="0"/>
    <x v="0"/>
    <x v="16"/>
    <x v="0"/>
    <n v="6"/>
    <s v="Moderate"/>
    <x v="0"/>
    <n v="7"/>
    <x v="0"/>
  </r>
  <r>
    <n v="137"/>
    <x v="5"/>
    <x v="1"/>
    <x v="1"/>
    <x v="2"/>
    <x v="105"/>
    <n v="4.0999999999999996"/>
    <x v="0"/>
    <x v="3"/>
    <x v="1"/>
    <x v="31"/>
    <x v="1"/>
    <n v="7"/>
    <s v="Sever"/>
    <x v="2"/>
    <n v="5"/>
    <x v="5"/>
  </r>
  <r>
    <n v="138"/>
    <x v="3"/>
    <x v="1"/>
    <x v="0"/>
    <x v="2"/>
    <x v="104"/>
    <n v="4.8"/>
    <x v="0"/>
    <x v="0"/>
    <x v="0"/>
    <x v="10"/>
    <x v="0"/>
    <n v="5"/>
    <s v="Moderate"/>
    <x v="0"/>
    <n v="8"/>
    <x v="0"/>
  </r>
  <r>
    <n v="139"/>
    <x v="0"/>
    <x v="0"/>
    <x v="1"/>
    <x v="0"/>
    <x v="107"/>
    <n v="5.3"/>
    <x v="0"/>
    <x v="1"/>
    <x v="0"/>
    <x v="21"/>
    <x v="0"/>
    <n v="6"/>
    <s v="Moderate"/>
    <x v="2"/>
    <n v="7"/>
    <x v="0"/>
  </r>
  <r>
    <n v="140"/>
    <x v="1"/>
    <x v="1"/>
    <x v="0"/>
    <x v="0"/>
    <x v="108"/>
    <n v="4"/>
    <x v="0"/>
    <x v="0"/>
    <x v="1"/>
    <x v="5"/>
    <x v="1"/>
    <n v="8"/>
    <s v="Sever"/>
    <x v="0"/>
    <n v="5"/>
    <x v="5"/>
  </r>
  <r>
    <n v="141"/>
    <x v="5"/>
    <x v="1"/>
    <x v="1"/>
    <x v="2"/>
    <x v="0"/>
    <n v="4.7"/>
    <x v="0"/>
    <x v="3"/>
    <x v="0"/>
    <x v="17"/>
    <x v="0"/>
    <n v="5"/>
    <s v="Moderate"/>
    <x v="2"/>
    <n v="8"/>
    <x v="0"/>
  </r>
  <r>
    <n v="142"/>
    <x v="3"/>
    <x v="1"/>
    <x v="0"/>
    <x v="2"/>
    <x v="109"/>
    <n v="5.2"/>
    <x v="0"/>
    <x v="0"/>
    <x v="0"/>
    <x v="18"/>
    <x v="0"/>
    <n v="6"/>
    <s v="Moderate"/>
    <x v="0"/>
    <n v="7"/>
    <x v="0"/>
  </r>
  <r>
    <n v="143"/>
    <x v="0"/>
    <x v="0"/>
    <x v="1"/>
    <x v="0"/>
    <x v="105"/>
    <n v="3.9"/>
    <x v="2"/>
    <x v="1"/>
    <x v="1"/>
    <x v="32"/>
    <x v="1"/>
    <n v="7"/>
    <s v="Sever"/>
    <x v="2"/>
    <n v="5"/>
    <x v="5"/>
  </r>
  <r>
    <n v="144"/>
    <x v="1"/>
    <x v="1"/>
    <x v="0"/>
    <x v="0"/>
    <x v="104"/>
    <n v="4.5999999999999996"/>
    <x v="0"/>
    <x v="0"/>
    <x v="0"/>
    <x v="2"/>
    <x v="1"/>
    <n v="5"/>
    <s v="Moderate"/>
    <x v="0"/>
    <n v="8"/>
    <x v="0"/>
  </r>
  <r>
    <n v="145"/>
    <x v="5"/>
    <x v="1"/>
    <x v="1"/>
    <x v="2"/>
    <x v="107"/>
    <n v="5.0999999999999996"/>
    <x v="0"/>
    <x v="3"/>
    <x v="0"/>
    <x v="22"/>
    <x v="0"/>
    <n v="6"/>
    <s v="Moderate"/>
    <x v="2"/>
    <n v="7"/>
    <x v="0"/>
  </r>
  <r>
    <n v="146"/>
    <x v="3"/>
    <x v="1"/>
    <x v="0"/>
    <x v="2"/>
    <x v="108"/>
    <n v="3.8"/>
    <x v="2"/>
    <x v="0"/>
    <x v="1"/>
    <x v="33"/>
    <x v="1"/>
    <n v="8"/>
    <s v="Sever"/>
    <x v="0"/>
    <n v="5"/>
    <x v="5"/>
  </r>
  <r>
    <n v="147"/>
    <x v="0"/>
    <x v="0"/>
    <x v="1"/>
    <x v="0"/>
    <x v="0"/>
    <n v="4.5"/>
    <x v="0"/>
    <x v="1"/>
    <x v="0"/>
    <x v="23"/>
    <x v="1"/>
    <n v="5"/>
    <s v="Moderate"/>
    <x v="2"/>
    <n v="8"/>
    <x v="0"/>
  </r>
  <r>
    <n v="148"/>
    <x v="1"/>
    <x v="1"/>
    <x v="0"/>
    <x v="0"/>
    <x v="109"/>
    <n v="5"/>
    <x v="0"/>
    <x v="0"/>
    <x v="0"/>
    <x v="1"/>
    <x v="0"/>
    <n v="6"/>
    <s v="Moderate"/>
    <x v="0"/>
    <n v="7"/>
    <x v="0"/>
  </r>
  <r>
    <n v="149"/>
    <x v="5"/>
    <x v="1"/>
    <x v="1"/>
    <x v="2"/>
    <x v="105"/>
    <n v="3.7"/>
    <x v="2"/>
    <x v="3"/>
    <x v="1"/>
    <x v="34"/>
    <x v="1"/>
    <n v="7"/>
    <s v="Sever"/>
    <x v="2"/>
    <n v="5"/>
    <x v="5"/>
  </r>
  <r>
    <n v="150"/>
    <x v="3"/>
    <x v="1"/>
    <x v="0"/>
    <x v="2"/>
    <x v="104"/>
    <n v="4.4000000000000004"/>
    <x v="0"/>
    <x v="0"/>
    <x v="0"/>
    <x v="8"/>
    <x v="1"/>
    <n v="5"/>
    <s v="Moderate"/>
    <x v="0"/>
    <n v="8"/>
    <x v="0"/>
  </r>
  <r>
    <n v="151"/>
    <x v="0"/>
    <x v="0"/>
    <x v="1"/>
    <x v="0"/>
    <x v="107"/>
    <n v="4.9000000000000004"/>
    <x v="0"/>
    <x v="1"/>
    <x v="0"/>
    <x v="35"/>
    <x v="0"/>
    <n v="6"/>
    <s v="Moderate"/>
    <x v="2"/>
    <n v="7"/>
    <x v="0"/>
  </r>
  <r>
    <n v="152"/>
    <x v="1"/>
    <x v="1"/>
    <x v="0"/>
    <x v="0"/>
    <x v="108"/>
    <n v="3.6"/>
    <x v="2"/>
    <x v="0"/>
    <x v="1"/>
    <x v="36"/>
    <x v="1"/>
    <n v="8"/>
    <s v="Sever"/>
    <x v="0"/>
    <n v="5"/>
    <x v="5"/>
  </r>
  <r>
    <n v="153"/>
    <x v="5"/>
    <x v="1"/>
    <x v="1"/>
    <x v="2"/>
    <x v="0"/>
    <n v="4.3"/>
    <x v="0"/>
    <x v="3"/>
    <x v="0"/>
    <x v="15"/>
    <x v="1"/>
    <n v="5"/>
    <s v="Moderate"/>
    <x v="2"/>
    <n v="8"/>
    <x v="0"/>
  </r>
  <r>
    <n v="154"/>
    <x v="3"/>
    <x v="1"/>
    <x v="0"/>
    <x v="2"/>
    <x v="109"/>
    <n v="4.8"/>
    <x v="0"/>
    <x v="0"/>
    <x v="0"/>
    <x v="37"/>
    <x v="0"/>
    <n v="6"/>
    <s v="Moderate"/>
    <x v="0"/>
    <n v="7"/>
    <x v="0"/>
  </r>
  <r>
    <n v="155"/>
    <x v="0"/>
    <x v="0"/>
    <x v="1"/>
    <x v="0"/>
    <x v="105"/>
    <n v="3.5"/>
    <x v="2"/>
    <x v="1"/>
    <x v="1"/>
    <x v="38"/>
    <x v="1"/>
    <n v="7"/>
    <s v="Sever"/>
    <x v="2"/>
    <n v="5"/>
    <x v="5"/>
  </r>
  <r>
    <n v="156"/>
    <x v="1"/>
    <x v="1"/>
    <x v="0"/>
    <x v="0"/>
    <x v="104"/>
    <n v="4.2"/>
    <x v="0"/>
    <x v="0"/>
    <x v="0"/>
    <x v="20"/>
    <x v="1"/>
    <n v="5"/>
    <s v="Moderate"/>
    <x v="0"/>
    <n v="8"/>
    <x v="0"/>
  </r>
  <r>
    <n v="157"/>
    <x v="5"/>
    <x v="1"/>
    <x v="1"/>
    <x v="2"/>
    <x v="107"/>
    <n v="4.7"/>
    <x v="0"/>
    <x v="3"/>
    <x v="0"/>
    <x v="39"/>
    <x v="0"/>
    <n v="6"/>
    <s v="Moderate"/>
    <x v="2"/>
    <n v="7"/>
    <x v="0"/>
  </r>
  <r>
    <n v="158"/>
    <x v="3"/>
    <x v="1"/>
    <x v="0"/>
    <x v="2"/>
    <x v="108"/>
    <n v="3.4"/>
    <x v="2"/>
    <x v="0"/>
    <x v="1"/>
    <x v="40"/>
    <x v="1"/>
    <n v="8"/>
    <s v="Sever"/>
    <x v="0"/>
    <n v="5"/>
    <x v="5"/>
  </r>
  <r>
    <n v="159"/>
    <x v="0"/>
    <x v="0"/>
    <x v="1"/>
    <x v="0"/>
    <x v="0"/>
    <n v="4.0999999999999996"/>
    <x v="0"/>
    <x v="1"/>
    <x v="0"/>
    <x v="28"/>
    <x v="1"/>
    <n v="5"/>
    <s v="Moderate"/>
    <x v="2"/>
    <n v="8"/>
    <x v="0"/>
  </r>
  <r>
    <n v="160"/>
    <x v="1"/>
    <x v="1"/>
    <x v="0"/>
    <x v="0"/>
    <x v="109"/>
    <n v="4.5999999999999996"/>
    <x v="0"/>
    <x v="0"/>
    <x v="0"/>
    <x v="41"/>
    <x v="0"/>
    <n v="6"/>
    <s v="Moderate"/>
    <x v="0"/>
    <n v="7"/>
    <x v="0"/>
  </r>
  <r>
    <n v="161"/>
    <x v="0"/>
    <x v="0"/>
    <x v="0"/>
    <x v="0"/>
    <x v="0"/>
    <n v="5.3"/>
    <x v="0"/>
    <x v="0"/>
    <x v="0"/>
    <x v="27"/>
    <x v="0"/>
    <n v="5"/>
    <s v="Moderate"/>
    <x v="2"/>
    <n v="7"/>
    <x v="0"/>
  </r>
  <r>
    <n v="162"/>
    <x v="3"/>
    <x v="1"/>
    <x v="1"/>
    <x v="2"/>
    <x v="109"/>
    <n v="4.8"/>
    <x v="0"/>
    <x v="3"/>
    <x v="1"/>
    <x v="8"/>
    <x v="1"/>
    <n v="7"/>
    <s v="Sever"/>
    <x v="0"/>
    <n v="6"/>
    <x v="5"/>
  </r>
  <r>
    <n v="163"/>
    <x v="1"/>
    <x v="1"/>
    <x v="0"/>
    <x v="0"/>
    <x v="105"/>
    <n v="5.5"/>
    <x v="0"/>
    <x v="1"/>
    <x v="0"/>
    <x v="14"/>
    <x v="0"/>
    <n v="6"/>
    <s v="Moderate"/>
    <x v="2"/>
    <n v="8"/>
    <x v="0"/>
  </r>
  <r>
    <n v="164"/>
    <x v="5"/>
    <x v="1"/>
    <x v="1"/>
    <x v="2"/>
    <x v="104"/>
    <n v="4.7"/>
    <x v="0"/>
    <x v="0"/>
    <x v="0"/>
    <x v="26"/>
    <x v="0"/>
    <n v="5"/>
    <s v="Moderate"/>
    <x v="0"/>
    <n v="7"/>
    <x v="0"/>
  </r>
  <r>
    <n v="165"/>
    <x v="0"/>
    <x v="0"/>
    <x v="0"/>
    <x v="0"/>
    <x v="107"/>
    <n v="5.0999999999999996"/>
    <x v="0"/>
    <x v="3"/>
    <x v="1"/>
    <x v="2"/>
    <x v="1"/>
    <n v="7"/>
    <s v="Sever"/>
    <x v="2"/>
    <n v="5"/>
    <x v="5"/>
  </r>
  <r>
    <n v="166"/>
    <x v="3"/>
    <x v="1"/>
    <x v="1"/>
    <x v="2"/>
    <x v="108"/>
    <n v="5.4"/>
    <x v="0"/>
    <x v="1"/>
    <x v="0"/>
    <x v="3"/>
    <x v="0"/>
    <n v="6"/>
    <s v="Moderate"/>
    <x v="0"/>
    <n v="8"/>
    <x v="0"/>
  </r>
  <r>
    <n v="167"/>
    <x v="1"/>
    <x v="1"/>
    <x v="0"/>
    <x v="0"/>
    <x v="0"/>
    <n v="4.9000000000000004"/>
    <x v="0"/>
    <x v="0"/>
    <x v="0"/>
    <x v="25"/>
    <x v="0"/>
    <n v="5"/>
    <s v="Moderate"/>
    <x v="2"/>
    <n v="7"/>
    <x v="0"/>
  </r>
  <r>
    <n v="168"/>
    <x v="5"/>
    <x v="1"/>
    <x v="1"/>
    <x v="2"/>
    <x v="109"/>
    <n v="5.2"/>
    <x v="0"/>
    <x v="3"/>
    <x v="1"/>
    <x v="23"/>
    <x v="1"/>
    <n v="7"/>
    <s v="Sever"/>
    <x v="0"/>
    <n v="6"/>
    <x v="5"/>
  </r>
  <r>
    <n v="169"/>
    <x v="0"/>
    <x v="0"/>
    <x v="0"/>
    <x v="0"/>
    <x v="105"/>
    <n v="5.6"/>
    <x v="0"/>
    <x v="1"/>
    <x v="0"/>
    <x v="7"/>
    <x v="0"/>
    <n v="6"/>
    <s v="Moderate"/>
    <x v="2"/>
    <n v="8"/>
    <x v="0"/>
  </r>
  <r>
    <n v="170"/>
    <x v="3"/>
    <x v="1"/>
    <x v="1"/>
    <x v="2"/>
    <x v="104"/>
    <n v="4.5999999999999996"/>
    <x v="0"/>
    <x v="0"/>
    <x v="0"/>
    <x v="0"/>
    <x v="0"/>
    <n v="5"/>
    <s v="Moderate"/>
    <x v="0"/>
    <n v="7"/>
    <x v="0"/>
  </r>
  <r>
    <n v="171"/>
    <x v="1"/>
    <x v="1"/>
    <x v="0"/>
    <x v="0"/>
    <x v="107"/>
    <n v="5"/>
    <x v="0"/>
    <x v="3"/>
    <x v="1"/>
    <x v="15"/>
    <x v="1"/>
    <n v="7"/>
    <s v="Sever"/>
    <x v="2"/>
    <n v="5"/>
    <x v="5"/>
  </r>
  <r>
    <n v="172"/>
    <x v="5"/>
    <x v="1"/>
    <x v="1"/>
    <x v="2"/>
    <x v="108"/>
    <n v="5.3"/>
    <x v="0"/>
    <x v="1"/>
    <x v="0"/>
    <x v="12"/>
    <x v="0"/>
    <n v="6"/>
    <s v="Moderate"/>
    <x v="0"/>
    <n v="8"/>
    <x v="0"/>
  </r>
  <r>
    <n v="173"/>
    <x v="0"/>
    <x v="0"/>
    <x v="0"/>
    <x v="0"/>
    <x v="0"/>
    <n v="4.8"/>
    <x v="0"/>
    <x v="0"/>
    <x v="0"/>
    <x v="19"/>
    <x v="0"/>
    <n v="5"/>
    <s v="Moderate"/>
    <x v="2"/>
    <n v="7"/>
    <x v="0"/>
  </r>
  <r>
    <n v="174"/>
    <x v="3"/>
    <x v="1"/>
    <x v="1"/>
    <x v="2"/>
    <x v="109"/>
    <n v="5.0999999999999996"/>
    <x v="0"/>
    <x v="3"/>
    <x v="1"/>
    <x v="20"/>
    <x v="1"/>
    <n v="7"/>
    <s v="Sever"/>
    <x v="0"/>
    <n v="6"/>
    <x v="5"/>
  </r>
  <r>
    <n v="175"/>
    <x v="1"/>
    <x v="1"/>
    <x v="0"/>
    <x v="0"/>
    <x v="105"/>
    <n v="5.7"/>
    <x v="0"/>
    <x v="1"/>
    <x v="0"/>
    <x v="24"/>
    <x v="0"/>
    <n v="6"/>
    <s v="Moderate"/>
    <x v="2"/>
    <n v="8"/>
    <x v="0"/>
  </r>
  <r>
    <n v="176"/>
    <x v="5"/>
    <x v="1"/>
    <x v="1"/>
    <x v="2"/>
    <x v="104"/>
    <n v="4.5"/>
    <x v="0"/>
    <x v="0"/>
    <x v="0"/>
    <x v="13"/>
    <x v="0"/>
    <n v="5"/>
    <s v="Moderate"/>
    <x v="0"/>
    <n v="7"/>
    <x v="0"/>
  </r>
  <r>
    <n v="177"/>
    <x v="0"/>
    <x v="0"/>
    <x v="0"/>
    <x v="0"/>
    <x v="107"/>
    <n v="4.9000000000000004"/>
    <x v="0"/>
    <x v="3"/>
    <x v="1"/>
    <x v="28"/>
    <x v="1"/>
    <n v="7"/>
    <s v="Sever"/>
    <x v="2"/>
    <n v="5"/>
    <x v="5"/>
  </r>
  <r>
    <n v="178"/>
    <x v="3"/>
    <x v="1"/>
    <x v="1"/>
    <x v="2"/>
    <x v="108"/>
    <n v="5.2"/>
    <x v="0"/>
    <x v="1"/>
    <x v="0"/>
    <x v="9"/>
    <x v="0"/>
    <n v="6"/>
    <s v="Moderate"/>
    <x v="0"/>
    <n v="8"/>
    <x v="0"/>
  </r>
  <r>
    <n v="179"/>
    <x v="1"/>
    <x v="1"/>
    <x v="0"/>
    <x v="0"/>
    <x v="0"/>
    <n v="4.7"/>
    <x v="0"/>
    <x v="0"/>
    <x v="0"/>
    <x v="10"/>
    <x v="0"/>
    <n v="5"/>
    <s v="Moderate"/>
    <x v="2"/>
    <n v="7"/>
    <x v="0"/>
  </r>
  <r>
    <n v="180"/>
    <x v="5"/>
    <x v="1"/>
    <x v="1"/>
    <x v="2"/>
    <x v="109"/>
    <n v="5"/>
    <x v="0"/>
    <x v="3"/>
    <x v="1"/>
    <x v="29"/>
    <x v="1"/>
    <n v="7"/>
    <s v="Sever"/>
    <x v="0"/>
    <n v="6"/>
    <x v="5"/>
  </r>
  <r>
    <n v="181"/>
    <x v="0"/>
    <x v="0"/>
    <x v="0"/>
    <x v="0"/>
    <x v="105"/>
    <n v="5.8"/>
    <x v="0"/>
    <x v="1"/>
    <x v="0"/>
    <x v="16"/>
    <x v="0"/>
    <n v="6"/>
    <s v="Moderate"/>
    <x v="2"/>
    <n v="8"/>
    <x v="0"/>
  </r>
  <r>
    <n v="182"/>
    <x v="3"/>
    <x v="1"/>
    <x v="1"/>
    <x v="2"/>
    <x v="104"/>
    <n v="4.4000000000000004"/>
    <x v="0"/>
    <x v="0"/>
    <x v="0"/>
    <x v="17"/>
    <x v="0"/>
    <n v="5"/>
    <s v="Moderate"/>
    <x v="0"/>
    <n v="7"/>
    <x v="0"/>
  </r>
  <r>
    <n v="183"/>
    <x v="1"/>
    <x v="1"/>
    <x v="0"/>
    <x v="0"/>
    <x v="107"/>
    <n v="4.8"/>
    <x v="0"/>
    <x v="3"/>
    <x v="1"/>
    <x v="30"/>
    <x v="1"/>
    <n v="7"/>
    <s v="Sever"/>
    <x v="2"/>
    <n v="5"/>
    <x v="5"/>
  </r>
  <r>
    <n v="184"/>
    <x v="5"/>
    <x v="1"/>
    <x v="1"/>
    <x v="2"/>
    <x v="108"/>
    <n v="5.0999999999999996"/>
    <x v="0"/>
    <x v="1"/>
    <x v="0"/>
    <x v="21"/>
    <x v="0"/>
    <n v="6"/>
    <s v="Moderate"/>
    <x v="0"/>
    <n v="8"/>
    <x v="0"/>
  </r>
  <r>
    <n v="185"/>
    <x v="0"/>
    <x v="0"/>
    <x v="0"/>
    <x v="0"/>
    <x v="0"/>
    <n v="4.5999999999999996"/>
    <x v="0"/>
    <x v="0"/>
    <x v="0"/>
    <x v="2"/>
    <x v="1"/>
    <n v="5"/>
    <s v="Moderate"/>
    <x v="2"/>
    <n v="7"/>
    <x v="0"/>
  </r>
  <r>
    <n v="186"/>
    <x v="3"/>
    <x v="1"/>
    <x v="1"/>
    <x v="2"/>
    <x v="109"/>
    <n v="4.9000000000000004"/>
    <x v="0"/>
    <x v="3"/>
    <x v="1"/>
    <x v="11"/>
    <x v="1"/>
    <n v="7"/>
    <s v="Sever"/>
    <x v="0"/>
    <n v="6"/>
    <x v="5"/>
  </r>
  <r>
    <n v="187"/>
    <x v="1"/>
    <x v="1"/>
    <x v="0"/>
    <x v="0"/>
    <x v="105"/>
    <n v="5.9"/>
    <x v="0"/>
    <x v="1"/>
    <x v="0"/>
    <x v="18"/>
    <x v="0"/>
    <n v="6"/>
    <s v="Moderate"/>
    <x v="2"/>
    <n v="8"/>
    <x v="0"/>
  </r>
  <r>
    <n v="188"/>
    <x v="5"/>
    <x v="1"/>
    <x v="1"/>
    <x v="2"/>
    <x v="104"/>
    <n v="4.3"/>
    <x v="0"/>
    <x v="0"/>
    <x v="0"/>
    <x v="23"/>
    <x v="1"/>
    <n v="5"/>
    <s v="Moderate"/>
    <x v="0"/>
    <n v="7"/>
    <x v="0"/>
  </r>
  <r>
    <n v="189"/>
    <x v="0"/>
    <x v="0"/>
    <x v="0"/>
    <x v="0"/>
    <x v="107"/>
    <n v="4.7"/>
    <x v="0"/>
    <x v="3"/>
    <x v="1"/>
    <x v="31"/>
    <x v="1"/>
    <n v="7"/>
    <s v="Sever"/>
    <x v="2"/>
    <n v="5"/>
    <x v="5"/>
  </r>
  <r>
    <n v="190"/>
    <x v="3"/>
    <x v="1"/>
    <x v="1"/>
    <x v="2"/>
    <x v="108"/>
    <n v="5"/>
    <x v="0"/>
    <x v="1"/>
    <x v="0"/>
    <x v="22"/>
    <x v="0"/>
    <n v="6"/>
    <s v="Moderate"/>
    <x v="0"/>
    <n v="8"/>
    <x v="0"/>
  </r>
  <r>
    <n v="191"/>
    <x v="1"/>
    <x v="1"/>
    <x v="0"/>
    <x v="0"/>
    <x v="0"/>
    <n v="4.5"/>
    <x v="0"/>
    <x v="0"/>
    <x v="0"/>
    <x v="8"/>
    <x v="1"/>
    <n v="5"/>
    <s v="Moderate"/>
    <x v="2"/>
    <n v="7"/>
    <x v="0"/>
  </r>
  <r>
    <n v="192"/>
    <x v="5"/>
    <x v="1"/>
    <x v="1"/>
    <x v="2"/>
    <x v="109"/>
    <n v="4.8"/>
    <x v="0"/>
    <x v="3"/>
    <x v="1"/>
    <x v="5"/>
    <x v="1"/>
    <n v="7"/>
    <s v="Sever"/>
    <x v="0"/>
    <n v="6"/>
    <x v="5"/>
  </r>
  <r>
    <n v="193"/>
    <x v="0"/>
    <x v="0"/>
    <x v="0"/>
    <x v="0"/>
    <x v="105"/>
    <n v="6"/>
    <x v="1"/>
    <x v="1"/>
    <x v="0"/>
    <x v="1"/>
    <x v="0"/>
    <n v="6"/>
    <s v="Moderate"/>
    <x v="2"/>
    <n v="8"/>
    <x v="0"/>
  </r>
  <r>
    <n v="194"/>
    <x v="3"/>
    <x v="1"/>
    <x v="1"/>
    <x v="2"/>
    <x v="104"/>
    <n v="4.2"/>
    <x v="0"/>
    <x v="0"/>
    <x v="0"/>
    <x v="15"/>
    <x v="1"/>
    <n v="5"/>
    <s v="Moderate"/>
    <x v="0"/>
    <n v="7"/>
    <x v="0"/>
  </r>
  <r>
    <n v="195"/>
    <x v="1"/>
    <x v="1"/>
    <x v="0"/>
    <x v="0"/>
    <x v="107"/>
    <n v="4.5999999999999996"/>
    <x v="0"/>
    <x v="3"/>
    <x v="1"/>
    <x v="32"/>
    <x v="1"/>
    <n v="7"/>
    <s v="Sever"/>
    <x v="2"/>
    <n v="5"/>
    <x v="5"/>
  </r>
  <r>
    <n v="196"/>
    <x v="5"/>
    <x v="1"/>
    <x v="1"/>
    <x v="2"/>
    <x v="108"/>
    <n v="4.9000000000000004"/>
    <x v="0"/>
    <x v="1"/>
    <x v="0"/>
    <x v="35"/>
    <x v="0"/>
    <n v="6"/>
    <s v="Moderate"/>
    <x v="0"/>
    <n v="8"/>
    <x v="0"/>
  </r>
  <r>
    <n v="197"/>
    <x v="0"/>
    <x v="0"/>
    <x v="0"/>
    <x v="0"/>
    <x v="0"/>
    <n v="4.4000000000000004"/>
    <x v="0"/>
    <x v="0"/>
    <x v="0"/>
    <x v="20"/>
    <x v="1"/>
    <n v="5"/>
    <s v="Moderate"/>
    <x v="2"/>
    <n v="7"/>
    <x v="0"/>
  </r>
  <r>
    <n v="198"/>
    <x v="3"/>
    <x v="1"/>
    <x v="1"/>
    <x v="2"/>
    <x v="109"/>
    <n v="4.7"/>
    <x v="0"/>
    <x v="3"/>
    <x v="1"/>
    <x v="33"/>
    <x v="1"/>
    <n v="7"/>
    <s v="Sever"/>
    <x v="0"/>
    <n v="6"/>
    <x v="5"/>
  </r>
  <r>
    <n v="199"/>
    <x v="1"/>
    <x v="1"/>
    <x v="0"/>
    <x v="0"/>
    <x v="105"/>
    <n v="6.1"/>
    <x v="1"/>
    <x v="1"/>
    <x v="0"/>
    <x v="37"/>
    <x v="0"/>
    <n v="6"/>
    <s v="Moderate"/>
    <x v="2"/>
    <n v="8"/>
    <x v="0"/>
  </r>
  <r>
    <n v="200"/>
    <x v="5"/>
    <x v="1"/>
    <x v="1"/>
    <x v="2"/>
    <x v="104"/>
    <n v="4.0999999999999996"/>
    <x v="0"/>
    <x v="0"/>
    <x v="0"/>
    <x v="28"/>
    <x v="1"/>
    <n v="5"/>
    <s v="Moderate"/>
    <x v="0"/>
    <n v="7"/>
    <x v="0"/>
  </r>
  <r>
    <n v="201"/>
    <x v="0"/>
    <x v="0"/>
    <x v="0"/>
    <x v="0"/>
    <x v="107"/>
    <n v="4.5"/>
    <x v="0"/>
    <x v="3"/>
    <x v="1"/>
    <x v="34"/>
    <x v="1"/>
    <n v="7"/>
    <s v="Sever"/>
    <x v="2"/>
    <n v="5"/>
    <x v="5"/>
  </r>
  <r>
    <n v="202"/>
    <x v="3"/>
    <x v="1"/>
    <x v="1"/>
    <x v="2"/>
    <x v="108"/>
    <n v="4.8"/>
    <x v="0"/>
    <x v="1"/>
    <x v="0"/>
    <x v="39"/>
    <x v="0"/>
    <n v="6"/>
    <s v="Moderate"/>
    <x v="0"/>
    <n v="8"/>
    <x v="0"/>
  </r>
  <r>
    <n v="203"/>
    <x v="1"/>
    <x v="1"/>
    <x v="0"/>
    <x v="0"/>
    <x v="0"/>
    <n v="4.3"/>
    <x v="0"/>
    <x v="0"/>
    <x v="0"/>
    <x v="29"/>
    <x v="1"/>
    <n v="5"/>
    <s v="Moderate"/>
    <x v="2"/>
    <n v="7"/>
    <x v="0"/>
  </r>
  <r>
    <n v="204"/>
    <x v="5"/>
    <x v="1"/>
    <x v="1"/>
    <x v="2"/>
    <x v="109"/>
    <n v="4.5999999999999996"/>
    <x v="0"/>
    <x v="3"/>
    <x v="1"/>
    <x v="36"/>
    <x v="1"/>
    <n v="7"/>
    <s v="Sever"/>
    <x v="0"/>
    <n v="6"/>
    <x v="5"/>
  </r>
  <r>
    <n v="205"/>
    <x v="0"/>
    <x v="0"/>
    <x v="0"/>
    <x v="0"/>
    <x v="105"/>
    <n v="6.2"/>
    <x v="1"/>
    <x v="1"/>
    <x v="0"/>
    <x v="41"/>
    <x v="0"/>
    <n v="6"/>
    <s v="Moderate"/>
    <x v="2"/>
    <n v="8"/>
    <x v="0"/>
  </r>
  <r>
    <n v="206"/>
    <x v="3"/>
    <x v="1"/>
    <x v="1"/>
    <x v="2"/>
    <x v="104"/>
    <n v="4"/>
    <x v="0"/>
    <x v="0"/>
    <x v="0"/>
    <x v="30"/>
    <x v="1"/>
    <n v="5"/>
    <s v="Moderate"/>
    <x v="0"/>
    <n v="7"/>
    <x v="0"/>
  </r>
  <r>
    <n v="207"/>
    <x v="1"/>
    <x v="1"/>
    <x v="0"/>
    <x v="0"/>
    <x v="107"/>
    <n v="4.4000000000000004"/>
    <x v="0"/>
    <x v="3"/>
    <x v="1"/>
    <x v="38"/>
    <x v="1"/>
    <n v="7"/>
    <s v="Sever"/>
    <x v="2"/>
    <n v="5"/>
    <x v="5"/>
  </r>
  <r>
    <n v="208"/>
    <x v="5"/>
    <x v="1"/>
    <x v="1"/>
    <x v="2"/>
    <x v="108"/>
    <n v="4.7"/>
    <x v="0"/>
    <x v="1"/>
    <x v="0"/>
    <x v="4"/>
    <x v="0"/>
    <n v="6"/>
    <s v="Moderate"/>
    <x v="0"/>
    <n v="8"/>
    <x v="0"/>
  </r>
  <r>
    <n v="209"/>
    <x v="0"/>
    <x v="0"/>
    <x v="0"/>
    <x v="0"/>
    <x v="0"/>
    <n v="4.2"/>
    <x v="0"/>
    <x v="0"/>
    <x v="0"/>
    <x v="11"/>
    <x v="1"/>
    <n v="5"/>
    <s v="Moderate"/>
    <x v="2"/>
    <n v="7"/>
    <x v="0"/>
  </r>
  <r>
    <n v="210"/>
    <x v="3"/>
    <x v="1"/>
    <x v="1"/>
    <x v="2"/>
    <x v="109"/>
    <n v="4.5"/>
    <x v="0"/>
    <x v="3"/>
    <x v="1"/>
    <x v="40"/>
    <x v="1"/>
    <n v="7"/>
    <s v="Sever"/>
    <x v="0"/>
    <n v="6"/>
    <x v="5"/>
  </r>
  <r>
    <n v="211"/>
    <x v="1"/>
    <x v="1"/>
    <x v="0"/>
    <x v="0"/>
    <x v="105"/>
    <n v="6.3"/>
    <x v="1"/>
    <x v="1"/>
    <x v="0"/>
    <x v="42"/>
    <x v="0"/>
    <n v="6"/>
    <s v="Moderate"/>
    <x v="2"/>
    <n v="8"/>
    <x v="0"/>
  </r>
  <r>
    <n v="212"/>
    <x v="5"/>
    <x v="1"/>
    <x v="1"/>
    <x v="2"/>
    <x v="104"/>
    <n v="3.9"/>
    <x v="2"/>
    <x v="0"/>
    <x v="0"/>
    <x v="31"/>
    <x v="1"/>
    <n v="5"/>
    <s v="Moderate"/>
    <x v="0"/>
    <n v="7"/>
    <x v="0"/>
  </r>
  <r>
    <n v="213"/>
    <x v="0"/>
    <x v="0"/>
    <x v="0"/>
    <x v="0"/>
    <x v="107"/>
    <n v="4.3"/>
    <x v="0"/>
    <x v="3"/>
    <x v="1"/>
    <x v="43"/>
    <x v="1"/>
    <n v="7"/>
    <s v="Sever"/>
    <x v="2"/>
    <n v="5"/>
    <x v="5"/>
  </r>
  <r>
    <n v="214"/>
    <x v="3"/>
    <x v="1"/>
    <x v="1"/>
    <x v="2"/>
    <x v="108"/>
    <n v="4.5999999999999996"/>
    <x v="0"/>
    <x v="1"/>
    <x v="0"/>
    <x v="44"/>
    <x v="0"/>
    <n v="6"/>
    <s v="Moderate"/>
    <x v="0"/>
    <n v="8"/>
    <x v="0"/>
  </r>
  <r>
    <n v="215"/>
    <x v="1"/>
    <x v="1"/>
    <x v="0"/>
    <x v="0"/>
    <x v="0"/>
    <n v="4.0999999999999996"/>
    <x v="0"/>
    <x v="0"/>
    <x v="0"/>
    <x v="5"/>
    <x v="1"/>
    <n v="5"/>
    <s v="Moderate"/>
    <x v="2"/>
    <n v="7"/>
    <x v="0"/>
  </r>
  <r>
    <n v="216"/>
    <x v="5"/>
    <x v="1"/>
    <x v="1"/>
    <x v="2"/>
    <x v="109"/>
    <n v="4.4000000000000004"/>
    <x v="0"/>
    <x v="3"/>
    <x v="1"/>
    <x v="45"/>
    <x v="1"/>
    <n v="7"/>
    <s v="Sever"/>
    <x v="0"/>
    <n v="6"/>
    <x v="5"/>
  </r>
  <r>
    <n v="217"/>
    <x v="0"/>
    <x v="0"/>
    <x v="0"/>
    <x v="0"/>
    <x v="105"/>
    <n v="6.4"/>
    <x v="1"/>
    <x v="1"/>
    <x v="0"/>
    <x v="46"/>
    <x v="0"/>
    <n v="6"/>
    <s v="Moderate"/>
    <x v="2"/>
    <n v="8"/>
    <x v="0"/>
  </r>
  <r>
    <n v="218"/>
    <x v="3"/>
    <x v="1"/>
    <x v="1"/>
    <x v="2"/>
    <x v="104"/>
    <n v="3.8"/>
    <x v="2"/>
    <x v="0"/>
    <x v="0"/>
    <x v="32"/>
    <x v="1"/>
    <n v="5"/>
    <s v="Moderate"/>
    <x v="0"/>
    <n v="7"/>
    <x v="0"/>
  </r>
  <r>
    <n v="219"/>
    <x v="1"/>
    <x v="1"/>
    <x v="0"/>
    <x v="0"/>
    <x v="107"/>
    <n v="4.2"/>
    <x v="0"/>
    <x v="3"/>
    <x v="1"/>
    <x v="47"/>
    <x v="1"/>
    <n v="7"/>
    <s v="Sever"/>
    <x v="2"/>
    <n v="5"/>
    <x v="5"/>
  </r>
  <r>
    <n v="220"/>
    <x v="5"/>
    <x v="1"/>
    <x v="1"/>
    <x v="2"/>
    <x v="108"/>
    <n v="4.5"/>
    <x v="0"/>
    <x v="1"/>
    <x v="0"/>
    <x v="48"/>
    <x v="0"/>
    <n v="6"/>
    <s v="Moderate"/>
    <x v="0"/>
    <n v="8"/>
    <x v="0"/>
  </r>
  <r>
    <n v="221"/>
    <x v="0"/>
    <x v="0"/>
    <x v="0"/>
    <x v="0"/>
    <x v="1"/>
    <n v="6.5"/>
    <x v="1"/>
    <x v="0"/>
    <x v="0"/>
    <x v="3"/>
    <x v="0"/>
    <n v="5"/>
    <s v="Moderate"/>
    <x v="2"/>
    <n v="9"/>
    <x v="0"/>
  </r>
  <r>
    <n v="222"/>
    <x v="3"/>
    <x v="1"/>
    <x v="1"/>
    <x v="2"/>
    <x v="2"/>
    <n v="5.8"/>
    <x v="0"/>
    <x v="1"/>
    <x v="0"/>
    <x v="0"/>
    <x v="0"/>
    <n v="6"/>
    <s v="Moderate"/>
    <x v="0"/>
    <n v="7"/>
    <x v="0"/>
  </r>
  <r>
    <n v="223"/>
    <x v="1"/>
    <x v="1"/>
    <x v="0"/>
    <x v="0"/>
    <x v="4"/>
    <n v="4.5"/>
    <x v="0"/>
    <x v="0"/>
    <x v="1"/>
    <x v="28"/>
    <x v="1"/>
    <n v="8"/>
    <s v="Sever"/>
    <x v="2"/>
    <n v="5"/>
    <x v="5"/>
  </r>
  <r>
    <n v="224"/>
    <x v="5"/>
    <x v="1"/>
    <x v="1"/>
    <x v="2"/>
    <x v="5"/>
    <n v="4.2"/>
    <x v="0"/>
    <x v="3"/>
    <x v="1"/>
    <x v="11"/>
    <x v="1"/>
    <n v="7"/>
    <s v="Sever"/>
    <x v="0"/>
    <n v="4"/>
    <x v="2"/>
  </r>
  <r>
    <n v="225"/>
    <x v="0"/>
    <x v="0"/>
    <x v="0"/>
    <x v="0"/>
    <x v="7"/>
    <n v="3.8"/>
    <x v="2"/>
    <x v="6"/>
    <x v="1"/>
    <x v="31"/>
    <x v="1"/>
    <n v="8"/>
    <s v="Sever"/>
    <x v="2"/>
    <m/>
    <x v="8"/>
  </r>
  <r>
    <n v="226"/>
    <x v="3"/>
    <x v="1"/>
    <x v="1"/>
    <x v="2"/>
    <x v="11"/>
    <n v="5.5"/>
    <x v="0"/>
    <x v="0"/>
    <x v="0"/>
    <x v="10"/>
    <x v="0"/>
    <n v="6"/>
    <s v="Moderate"/>
    <x v="2"/>
    <n v="7"/>
    <x v="0"/>
  </r>
  <r>
    <n v="227"/>
    <x v="1"/>
    <x v="1"/>
    <x v="0"/>
    <x v="0"/>
    <x v="8"/>
    <n v="5.2"/>
    <x v="0"/>
    <x v="7"/>
    <x v="0"/>
    <x v="0"/>
    <x v="0"/>
    <n v="6"/>
    <s v="Moderate"/>
    <x v="0"/>
    <m/>
    <x v="9"/>
  </r>
  <r>
    <n v="228"/>
    <x v="5"/>
    <x v="1"/>
    <x v="1"/>
    <x v="2"/>
    <x v="13"/>
    <n v="4.8"/>
    <x v="0"/>
    <x v="8"/>
    <x v="1"/>
    <x v="8"/>
    <x v="1"/>
    <n v="7"/>
    <s v="Sever"/>
    <x v="2"/>
    <m/>
    <x v="10"/>
  </r>
  <r>
    <n v="229"/>
    <x v="0"/>
    <x v="0"/>
    <x v="0"/>
    <x v="0"/>
    <x v="1"/>
    <n v="7"/>
    <x v="1"/>
    <x v="1"/>
    <x v="0"/>
    <x v="7"/>
    <x v="0"/>
    <n v="4"/>
    <s v="Mild"/>
    <x v="0"/>
    <n v="9"/>
    <x v="0"/>
  </r>
  <r>
    <n v="230"/>
    <x v="3"/>
    <x v="1"/>
    <x v="1"/>
    <x v="2"/>
    <x v="2"/>
    <n v="5.5"/>
    <x v="0"/>
    <x v="0"/>
    <x v="0"/>
    <x v="13"/>
    <x v="0"/>
    <n v="6"/>
    <s v="Moderate"/>
    <x v="2"/>
    <n v="7"/>
    <x v="0"/>
  </r>
  <r>
    <n v="231"/>
    <x v="1"/>
    <x v="1"/>
    <x v="0"/>
    <x v="0"/>
    <x v="4"/>
    <n v="4.7"/>
    <x v="0"/>
    <x v="3"/>
    <x v="1"/>
    <x v="20"/>
    <x v="1"/>
    <n v="7"/>
    <s v="Sever"/>
    <x v="0"/>
    <n v="5"/>
    <x v="5"/>
  </r>
  <r>
    <n v="232"/>
    <x v="5"/>
    <x v="1"/>
    <x v="1"/>
    <x v="2"/>
    <x v="5"/>
    <n v="4"/>
    <x v="0"/>
    <x v="0"/>
    <x v="1"/>
    <x v="31"/>
    <x v="1"/>
    <n v="8"/>
    <s v="Sever"/>
    <x v="2"/>
    <n v="4"/>
    <x v="2"/>
  </r>
  <r>
    <n v="233"/>
    <x v="0"/>
    <x v="0"/>
    <x v="0"/>
    <x v="0"/>
    <x v="7"/>
    <n v="3.5"/>
    <x v="2"/>
    <x v="6"/>
    <x v="1"/>
    <x v="5"/>
    <x v="1"/>
    <n v="8"/>
    <s v="Sever"/>
    <x v="2"/>
    <m/>
    <x v="8"/>
  </r>
  <r>
    <n v="234"/>
    <x v="3"/>
    <x v="1"/>
    <x v="1"/>
    <x v="2"/>
    <x v="11"/>
    <n v="5.7"/>
    <x v="0"/>
    <x v="1"/>
    <x v="0"/>
    <x v="0"/>
    <x v="0"/>
    <n v="5"/>
    <s v="Moderate"/>
    <x v="0"/>
    <n v="8"/>
    <x v="0"/>
  </r>
  <r>
    <n v="235"/>
    <x v="1"/>
    <x v="1"/>
    <x v="0"/>
    <x v="0"/>
    <x v="8"/>
    <n v="5"/>
    <x v="0"/>
    <x v="7"/>
    <x v="0"/>
    <x v="10"/>
    <x v="0"/>
    <n v="6"/>
    <s v="Moderate"/>
    <x v="2"/>
    <m/>
    <x v="9"/>
  </r>
  <r>
    <n v="236"/>
    <x v="5"/>
    <x v="1"/>
    <x v="1"/>
    <x v="2"/>
    <x v="13"/>
    <n v="4.5"/>
    <x v="0"/>
    <x v="8"/>
    <x v="1"/>
    <x v="20"/>
    <x v="1"/>
    <n v="7"/>
    <s v="Sever"/>
    <x v="0"/>
    <m/>
    <x v="10"/>
  </r>
  <r>
    <n v="237"/>
    <x v="0"/>
    <x v="0"/>
    <x v="0"/>
    <x v="0"/>
    <x v="1"/>
    <n v="6.8"/>
    <x v="1"/>
    <x v="0"/>
    <x v="0"/>
    <x v="14"/>
    <x v="0"/>
    <n v="4"/>
    <s v="Mild"/>
    <x v="2"/>
    <n v="9"/>
    <x v="0"/>
  </r>
  <r>
    <n v="238"/>
    <x v="3"/>
    <x v="1"/>
    <x v="1"/>
    <x v="2"/>
    <x v="2"/>
    <n v="5.6"/>
    <x v="0"/>
    <x v="3"/>
    <x v="0"/>
    <x v="19"/>
    <x v="0"/>
    <n v="6"/>
    <s v="Moderate"/>
    <x v="0"/>
    <n v="7"/>
    <x v="0"/>
  </r>
  <r>
    <n v="239"/>
    <x v="1"/>
    <x v="1"/>
    <x v="0"/>
    <x v="0"/>
    <x v="4"/>
    <n v="4.5999999999999996"/>
    <x v="0"/>
    <x v="0"/>
    <x v="1"/>
    <x v="15"/>
    <x v="1"/>
    <n v="7"/>
    <s v="Sever"/>
    <x v="2"/>
    <n v="5"/>
    <x v="5"/>
  </r>
  <r>
    <n v="240"/>
    <x v="5"/>
    <x v="1"/>
    <x v="1"/>
    <x v="2"/>
    <x v="5"/>
    <n v="4.0999999999999996"/>
    <x v="0"/>
    <x v="3"/>
    <x v="1"/>
    <x v="30"/>
    <x v="1"/>
    <n v="8"/>
    <s v="Sever"/>
    <x v="0"/>
    <n v="4"/>
    <x v="2"/>
  </r>
  <r>
    <n v="241"/>
    <x v="0"/>
    <x v="0"/>
    <x v="0"/>
    <x v="0"/>
    <x v="7"/>
    <n v="3.7"/>
    <x v="2"/>
    <x v="6"/>
    <x v="1"/>
    <x v="11"/>
    <x v="1"/>
    <n v="8"/>
    <s v="Sever"/>
    <x v="2"/>
    <m/>
    <x v="8"/>
  </r>
  <r>
    <n v="242"/>
    <x v="3"/>
    <x v="1"/>
    <x v="1"/>
    <x v="2"/>
    <x v="11"/>
    <n v="5.4"/>
    <x v="0"/>
    <x v="0"/>
    <x v="0"/>
    <x v="13"/>
    <x v="0"/>
    <n v="5"/>
    <s v="Moderate"/>
    <x v="2"/>
    <n v="7"/>
    <x v="0"/>
  </r>
  <r>
    <n v="243"/>
    <x v="1"/>
    <x v="1"/>
    <x v="0"/>
    <x v="0"/>
    <x v="8"/>
    <n v="5.0999999999999996"/>
    <x v="0"/>
    <x v="7"/>
    <x v="0"/>
    <x v="19"/>
    <x v="0"/>
    <n v="6"/>
    <s v="Moderate"/>
    <x v="0"/>
    <m/>
    <x v="9"/>
  </r>
  <r>
    <n v="244"/>
    <x v="5"/>
    <x v="1"/>
    <x v="1"/>
    <x v="2"/>
    <x v="13"/>
    <n v="4.7"/>
    <x v="0"/>
    <x v="8"/>
    <x v="1"/>
    <x v="15"/>
    <x v="1"/>
    <n v="7"/>
    <s v="Sever"/>
    <x v="2"/>
    <m/>
    <x v="10"/>
  </r>
  <r>
    <n v="245"/>
    <x v="0"/>
    <x v="0"/>
    <x v="0"/>
    <x v="0"/>
    <x v="1"/>
    <n v="6.9"/>
    <x v="1"/>
    <x v="1"/>
    <x v="0"/>
    <x v="12"/>
    <x v="0"/>
    <n v="4"/>
    <s v="Mild"/>
    <x v="0"/>
    <n v="9"/>
    <x v="0"/>
  </r>
  <r>
    <n v="246"/>
    <x v="3"/>
    <x v="1"/>
    <x v="1"/>
    <x v="2"/>
    <x v="2"/>
    <n v="5.7"/>
    <x v="0"/>
    <x v="0"/>
    <x v="0"/>
    <x v="25"/>
    <x v="0"/>
    <n v="6"/>
    <s v="Moderate"/>
    <x v="2"/>
    <n v="7"/>
    <x v="0"/>
  </r>
  <r>
    <n v="247"/>
    <x v="1"/>
    <x v="1"/>
    <x v="0"/>
    <x v="0"/>
    <x v="4"/>
    <n v="4.8"/>
    <x v="0"/>
    <x v="3"/>
    <x v="1"/>
    <x v="8"/>
    <x v="1"/>
    <n v="7"/>
    <s v="Sever"/>
    <x v="0"/>
    <n v="5"/>
    <x v="5"/>
  </r>
  <r>
    <n v="248"/>
    <x v="5"/>
    <x v="1"/>
    <x v="1"/>
    <x v="2"/>
    <x v="5"/>
    <n v="3.9"/>
    <x v="2"/>
    <x v="0"/>
    <x v="1"/>
    <x v="11"/>
    <x v="1"/>
    <n v="8"/>
    <s v="Sever"/>
    <x v="2"/>
    <n v="4"/>
    <x v="2"/>
  </r>
  <r>
    <n v="249"/>
    <x v="0"/>
    <x v="0"/>
    <x v="0"/>
    <x v="0"/>
    <x v="7"/>
    <n v="3.6"/>
    <x v="2"/>
    <x v="6"/>
    <x v="1"/>
    <x v="32"/>
    <x v="1"/>
    <n v="8"/>
    <s v="Sever"/>
    <x v="2"/>
    <m/>
    <x v="8"/>
  </r>
  <r>
    <n v="250"/>
    <x v="3"/>
    <x v="1"/>
    <x v="1"/>
    <x v="2"/>
    <x v="11"/>
    <n v="5.6"/>
    <x v="0"/>
    <x v="1"/>
    <x v="0"/>
    <x v="19"/>
    <x v="0"/>
    <n v="5"/>
    <s v="Moderate"/>
    <x v="0"/>
    <n v="8"/>
    <x v="0"/>
  </r>
  <r>
    <n v="251"/>
    <x v="1"/>
    <x v="1"/>
    <x v="0"/>
    <x v="0"/>
    <x v="8"/>
    <n v="4.9000000000000004"/>
    <x v="0"/>
    <x v="7"/>
    <x v="0"/>
    <x v="17"/>
    <x v="0"/>
    <n v="6"/>
    <s v="Moderate"/>
    <x v="2"/>
    <m/>
    <x v="9"/>
  </r>
  <r>
    <n v="252"/>
    <x v="5"/>
    <x v="1"/>
    <x v="1"/>
    <x v="2"/>
    <x v="13"/>
    <n v="4.5999999999999996"/>
    <x v="0"/>
    <x v="8"/>
    <x v="1"/>
    <x v="28"/>
    <x v="1"/>
    <n v="7"/>
    <s v="Sever"/>
    <x v="0"/>
    <m/>
    <x v="10"/>
  </r>
  <r>
    <n v="253"/>
    <x v="0"/>
    <x v="0"/>
    <x v="0"/>
    <x v="0"/>
    <x v="1"/>
    <n v="6.7"/>
    <x v="1"/>
    <x v="0"/>
    <x v="0"/>
    <x v="7"/>
    <x v="0"/>
    <n v="4"/>
    <s v="Mild"/>
    <x v="2"/>
    <n v="9"/>
    <x v="0"/>
  </r>
  <r>
    <n v="254"/>
    <x v="3"/>
    <x v="1"/>
    <x v="1"/>
    <x v="2"/>
    <x v="2"/>
    <n v="5.4"/>
    <x v="0"/>
    <x v="3"/>
    <x v="0"/>
    <x v="0"/>
    <x v="0"/>
    <n v="6"/>
    <s v="Moderate"/>
    <x v="0"/>
    <n v="7"/>
    <x v="0"/>
  </r>
  <r>
    <n v="255"/>
    <x v="1"/>
    <x v="1"/>
    <x v="0"/>
    <x v="0"/>
    <x v="4"/>
    <n v="4.4000000000000004"/>
    <x v="0"/>
    <x v="0"/>
    <x v="1"/>
    <x v="20"/>
    <x v="1"/>
    <n v="7"/>
    <s v="Sever"/>
    <x v="2"/>
    <n v="5"/>
    <x v="5"/>
  </r>
  <r>
    <n v="256"/>
    <x v="5"/>
    <x v="1"/>
    <x v="1"/>
    <x v="2"/>
    <x v="5"/>
    <n v="4"/>
    <x v="0"/>
    <x v="3"/>
    <x v="1"/>
    <x v="29"/>
    <x v="1"/>
    <n v="8"/>
    <s v="Sever"/>
    <x v="0"/>
    <n v="4"/>
    <x v="2"/>
  </r>
  <r>
    <n v="257"/>
    <x v="0"/>
    <x v="0"/>
    <x v="0"/>
    <x v="0"/>
    <x v="7"/>
    <n v="3.4"/>
    <x v="2"/>
    <x v="6"/>
    <x v="1"/>
    <x v="33"/>
    <x v="1"/>
    <n v="8"/>
    <s v="Sever"/>
    <x v="2"/>
    <m/>
    <x v="8"/>
  </r>
  <r>
    <n v="258"/>
    <x v="3"/>
    <x v="1"/>
    <x v="1"/>
    <x v="2"/>
    <x v="11"/>
    <n v="5.3"/>
    <x v="0"/>
    <x v="0"/>
    <x v="0"/>
    <x v="10"/>
    <x v="0"/>
    <n v="5"/>
    <s v="Moderate"/>
    <x v="2"/>
    <n v="7"/>
    <x v="0"/>
  </r>
  <r>
    <n v="259"/>
    <x v="1"/>
    <x v="1"/>
    <x v="0"/>
    <x v="0"/>
    <x v="8"/>
    <n v="5"/>
    <x v="0"/>
    <x v="7"/>
    <x v="0"/>
    <x v="13"/>
    <x v="0"/>
    <n v="6"/>
    <s v="Moderate"/>
    <x v="0"/>
    <m/>
    <x v="9"/>
  </r>
  <r>
    <n v="260"/>
    <x v="5"/>
    <x v="1"/>
    <x v="1"/>
    <x v="2"/>
    <x v="13"/>
    <n v="4.4000000000000004"/>
    <x v="0"/>
    <x v="8"/>
    <x v="1"/>
    <x v="29"/>
    <x v="1"/>
    <n v="7"/>
    <s v="Sever"/>
    <x v="2"/>
    <m/>
    <x v="10"/>
  </r>
  <r>
    <n v="261"/>
    <x v="0"/>
    <x v="0"/>
    <x v="0"/>
    <x v="0"/>
    <x v="1"/>
    <n v="6.6"/>
    <x v="1"/>
    <x v="1"/>
    <x v="0"/>
    <x v="24"/>
    <x v="0"/>
    <n v="4"/>
    <s v="Mild"/>
    <x v="0"/>
    <n v="9"/>
    <x v="0"/>
  </r>
  <r>
    <n v="262"/>
    <x v="3"/>
    <x v="1"/>
    <x v="1"/>
    <x v="2"/>
    <x v="2"/>
    <n v="5.3"/>
    <x v="0"/>
    <x v="0"/>
    <x v="0"/>
    <x v="26"/>
    <x v="0"/>
    <n v="6"/>
    <s v="Moderate"/>
    <x v="2"/>
    <n v="7"/>
    <x v="0"/>
  </r>
  <r>
    <n v="263"/>
    <x v="1"/>
    <x v="1"/>
    <x v="0"/>
    <x v="0"/>
    <x v="4"/>
    <n v="4.3"/>
    <x v="0"/>
    <x v="3"/>
    <x v="1"/>
    <x v="28"/>
    <x v="1"/>
    <n v="7"/>
    <s v="Sever"/>
    <x v="0"/>
    <n v="5"/>
    <x v="5"/>
  </r>
  <r>
    <n v="264"/>
    <x v="5"/>
    <x v="1"/>
    <x v="1"/>
    <x v="2"/>
    <x v="5"/>
    <n v="3.8"/>
    <x v="2"/>
    <x v="0"/>
    <x v="1"/>
    <x v="30"/>
    <x v="1"/>
    <n v="8"/>
    <s v="Sever"/>
    <x v="2"/>
    <n v="4"/>
    <x v="2"/>
  </r>
  <r>
    <n v="265"/>
    <x v="0"/>
    <x v="0"/>
    <x v="0"/>
    <x v="0"/>
    <x v="7"/>
    <n v="3.3"/>
    <x v="2"/>
    <x v="6"/>
    <x v="1"/>
    <x v="34"/>
    <x v="1"/>
    <n v="8"/>
    <s v="Sever"/>
    <x v="2"/>
    <m/>
    <x v="8"/>
  </r>
  <r>
    <n v="266"/>
    <x v="3"/>
    <x v="1"/>
    <x v="1"/>
    <x v="2"/>
    <x v="11"/>
    <n v="5.2"/>
    <x v="0"/>
    <x v="1"/>
    <x v="0"/>
    <x v="17"/>
    <x v="0"/>
    <n v="5"/>
    <s v="Moderate"/>
    <x v="0"/>
    <n v="8"/>
    <x v="0"/>
  </r>
  <r>
    <n v="267"/>
    <x v="1"/>
    <x v="1"/>
    <x v="0"/>
    <x v="0"/>
    <x v="8"/>
    <n v="4.8"/>
    <x v="0"/>
    <x v="7"/>
    <x v="0"/>
    <x v="2"/>
    <x v="1"/>
    <n v="6"/>
    <s v="Moderate"/>
    <x v="2"/>
    <m/>
    <x v="9"/>
  </r>
  <r>
    <n v="268"/>
    <x v="5"/>
    <x v="1"/>
    <x v="1"/>
    <x v="2"/>
    <x v="13"/>
    <n v="4.3"/>
    <x v="0"/>
    <x v="8"/>
    <x v="1"/>
    <x v="30"/>
    <x v="1"/>
    <n v="7"/>
    <s v="Sever"/>
    <x v="0"/>
    <m/>
    <x v="10"/>
  </r>
  <r>
    <n v="269"/>
    <x v="0"/>
    <x v="0"/>
    <x v="0"/>
    <x v="0"/>
    <x v="1"/>
    <n v="6.4"/>
    <x v="1"/>
    <x v="0"/>
    <x v="0"/>
    <x v="12"/>
    <x v="0"/>
    <n v="4"/>
    <s v="Mild"/>
    <x v="2"/>
    <n v="9"/>
    <x v="0"/>
  </r>
  <r>
    <n v="270"/>
    <x v="3"/>
    <x v="1"/>
    <x v="1"/>
    <x v="2"/>
    <x v="2"/>
    <n v="5.2"/>
    <x v="0"/>
    <x v="3"/>
    <x v="0"/>
    <x v="25"/>
    <x v="0"/>
    <n v="6"/>
    <s v="Moderate"/>
    <x v="0"/>
    <n v="7"/>
    <x v="0"/>
  </r>
  <r>
    <n v="271"/>
    <x v="1"/>
    <x v="1"/>
    <x v="0"/>
    <x v="0"/>
    <x v="4"/>
    <n v="4.5"/>
    <x v="0"/>
    <x v="0"/>
    <x v="1"/>
    <x v="15"/>
    <x v="1"/>
    <n v="7"/>
    <s v="Sever"/>
    <x v="2"/>
    <n v="5"/>
    <x v="5"/>
  </r>
  <r>
    <n v="272"/>
    <x v="5"/>
    <x v="1"/>
    <x v="1"/>
    <x v="2"/>
    <x v="5"/>
    <n v="3.7"/>
    <x v="2"/>
    <x v="3"/>
    <x v="1"/>
    <x v="11"/>
    <x v="1"/>
    <n v="8"/>
    <s v="Sever"/>
    <x v="0"/>
    <n v="4"/>
    <x v="2"/>
  </r>
  <r>
    <n v="273"/>
    <x v="0"/>
    <x v="0"/>
    <x v="0"/>
    <x v="0"/>
    <x v="7"/>
    <n v="3.2"/>
    <x v="2"/>
    <x v="6"/>
    <x v="1"/>
    <x v="36"/>
    <x v="1"/>
    <n v="8"/>
    <s v="Sever"/>
    <x v="2"/>
    <m/>
    <x v="8"/>
  </r>
  <r>
    <n v="274"/>
    <x v="3"/>
    <x v="1"/>
    <x v="1"/>
    <x v="2"/>
    <x v="11"/>
    <n v="5.4"/>
    <x v="0"/>
    <x v="0"/>
    <x v="0"/>
    <x v="13"/>
    <x v="0"/>
    <n v="5"/>
    <s v="Moderate"/>
    <x v="2"/>
    <n v="7"/>
    <x v="0"/>
  </r>
  <r>
    <n v="275"/>
    <x v="1"/>
    <x v="1"/>
    <x v="0"/>
    <x v="0"/>
    <x v="8"/>
    <n v="4.7"/>
    <x v="0"/>
    <x v="7"/>
    <x v="0"/>
    <x v="23"/>
    <x v="1"/>
    <n v="6"/>
    <s v="Moderate"/>
    <x v="0"/>
    <m/>
    <x v="9"/>
  </r>
  <r>
    <n v="276"/>
    <x v="5"/>
    <x v="1"/>
    <x v="1"/>
    <x v="2"/>
    <x v="13"/>
    <n v="4.2"/>
    <x v="0"/>
    <x v="8"/>
    <x v="1"/>
    <x v="11"/>
    <x v="1"/>
    <n v="7"/>
    <s v="Sever"/>
    <x v="2"/>
    <m/>
    <x v="10"/>
  </r>
  <r>
    <n v="277"/>
    <x v="0"/>
    <x v="0"/>
    <x v="0"/>
    <x v="0"/>
    <x v="1"/>
    <n v="6.6"/>
    <x v="1"/>
    <x v="1"/>
    <x v="0"/>
    <x v="9"/>
    <x v="0"/>
    <n v="4"/>
    <s v="Mild"/>
    <x v="0"/>
    <n v="9"/>
    <x v="0"/>
  </r>
  <r>
    <n v="278"/>
    <x v="3"/>
    <x v="1"/>
    <x v="1"/>
    <x v="2"/>
    <x v="2"/>
    <n v="5.0999999999999996"/>
    <x v="0"/>
    <x v="0"/>
    <x v="0"/>
    <x v="0"/>
    <x v="0"/>
    <n v="6"/>
    <s v="Moderate"/>
    <x v="2"/>
    <n v="7"/>
    <x v="0"/>
  </r>
  <r>
    <n v="279"/>
    <x v="1"/>
    <x v="1"/>
    <x v="0"/>
    <x v="0"/>
    <x v="4"/>
    <n v="4.4000000000000004"/>
    <x v="0"/>
    <x v="3"/>
    <x v="1"/>
    <x v="20"/>
    <x v="1"/>
    <n v="7"/>
    <s v="Sever"/>
    <x v="0"/>
    <n v="5"/>
    <x v="5"/>
  </r>
  <r>
    <n v="280"/>
    <x v="5"/>
    <x v="1"/>
    <x v="1"/>
    <x v="2"/>
    <x v="5"/>
    <n v="3.6"/>
    <x v="2"/>
    <x v="0"/>
    <x v="1"/>
    <x v="31"/>
    <x v="1"/>
    <n v="8"/>
    <s v="Sever"/>
    <x v="2"/>
    <n v="4"/>
    <x v="2"/>
  </r>
  <r>
    <n v="281"/>
    <x v="0"/>
    <x v="0"/>
    <x v="0"/>
    <x v="0"/>
    <x v="7"/>
    <n v="3.1"/>
    <x v="2"/>
    <x v="6"/>
    <x v="1"/>
    <x v="38"/>
    <x v="1"/>
    <n v="8"/>
    <s v="Sever"/>
    <x v="2"/>
    <m/>
    <x v="8"/>
  </r>
  <r>
    <n v="282"/>
    <x v="3"/>
    <x v="1"/>
    <x v="1"/>
    <x v="2"/>
    <x v="11"/>
    <n v="5.3"/>
    <x v="0"/>
    <x v="1"/>
    <x v="0"/>
    <x v="10"/>
    <x v="0"/>
    <n v="5"/>
    <s v="Moderate"/>
    <x v="0"/>
    <n v="8"/>
    <x v="0"/>
  </r>
  <r>
    <n v="283"/>
    <x v="1"/>
    <x v="1"/>
    <x v="0"/>
    <x v="0"/>
    <x v="8"/>
    <n v="4.5999999999999996"/>
    <x v="0"/>
    <x v="7"/>
    <x v="0"/>
    <x v="8"/>
    <x v="1"/>
    <n v="6"/>
    <s v="Moderate"/>
    <x v="2"/>
    <m/>
    <x v="9"/>
  </r>
  <r>
    <n v="284"/>
    <x v="5"/>
    <x v="1"/>
    <x v="1"/>
    <x v="2"/>
    <x v="13"/>
    <n v="4.0999999999999996"/>
    <x v="0"/>
    <x v="8"/>
    <x v="1"/>
    <x v="31"/>
    <x v="1"/>
    <n v="7"/>
    <s v="Sever"/>
    <x v="0"/>
    <m/>
    <x v="10"/>
  </r>
  <r>
    <n v="285"/>
    <x v="0"/>
    <x v="0"/>
    <x v="0"/>
    <x v="0"/>
    <x v="1"/>
    <n v="6.7"/>
    <x v="1"/>
    <x v="0"/>
    <x v="0"/>
    <x v="16"/>
    <x v="0"/>
    <n v="4"/>
    <s v="Mild"/>
    <x v="2"/>
    <n v="9"/>
    <x v="0"/>
  </r>
  <r>
    <n v="286"/>
    <x v="3"/>
    <x v="1"/>
    <x v="1"/>
    <x v="2"/>
    <x v="2"/>
    <n v="5"/>
    <x v="0"/>
    <x v="3"/>
    <x v="0"/>
    <x v="19"/>
    <x v="0"/>
    <n v="6"/>
    <s v="Moderate"/>
    <x v="0"/>
    <n v="7"/>
    <x v="0"/>
  </r>
  <r>
    <n v="287"/>
    <x v="1"/>
    <x v="1"/>
    <x v="0"/>
    <x v="0"/>
    <x v="4"/>
    <n v="4.3"/>
    <x v="0"/>
    <x v="0"/>
    <x v="1"/>
    <x v="28"/>
    <x v="1"/>
    <n v="7"/>
    <s v="Sever"/>
    <x v="2"/>
    <n v="5"/>
    <x v="5"/>
  </r>
  <r>
    <n v="288"/>
    <x v="5"/>
    <x v="1"/>
    <x v="1"/>
    <x v="2"/>
    <x v="5"/>
    <n v="3.5"/>
    <x v="2"/>
    <x v="3"/>
    <x v="1"/>
    <x v="5"/>
    <x v="1"/>
    <n v="8"/>
    <s v="Sever"/>
    <x v="0"/>
    <n v="4"/>
    <x v="2"/>
  </r>
  <r>
    <n v="289"/>
    <x v="0"/>
    <x v="0"/>
    <x v="0"/>
    <x v="0"/>
    <x v="7"/>
    <n v="3"/>
    <x v="2"/>
    <x v="6"/>
    <x v="1"/>
    <x v="40"/>
    <x v="1"/>
    <n v="8"/>
    <s v="Sever"/>
    <x v="2"/>
    <m/>
    <x v="8"/>
  </r>
  <r>
    <n v="290"/>
    <x v="3"/>
    <x v="1"/>
    <x v="1"/>
    <x v="2"/>
    <x v="11"/>
    <n v="5.2"/>
    <x v="0"/>
    <x v="0"/>
    <x v="0"/>
    <x v="17"/>
    <x v="0"/>
    <n v="5"/>
    <s v="Moderate"/>
    <x v="2"/>
    <n v="7"/>
    <x v="0"/>
  </r>
  <r>
    <n v="291"/>
    <x v="1"/>
    <x v="1"/>
    <x v="0"/>
    <x v="0"/>
    <x v="8"/>
    <n v="4.5"/>
    <x v="0"/>
    <x v="7"/>
    <x v="0"/>
    <x v="15"/>
    <x v="1"/>
    <n v="6"/>
    <s v="Moderate"/>
    <x v="0"/>
    <m/>
    <x v="9"/>
  </r>
  <r>
    <n v="292"/>
    <x v="5"/>
    <x v="1"/>
    <x v="1"/>
    <x v="2"/>
    <x v="13"/>
    <n v="4"/>
    <x v="0"/>
    <x v="8"/>
    <x v="1"/>
    <x v="5"/>
    <x v="1"/>
    <n v="7"/>
    <s v="Sever"/>
    <x v="2"/>
    <m/>
    <x v="10"/>
  </r>
  <r>
    <n v="293"/>
    <x v="0"/>
    <x v="0"/>
    <x v="0"/>
    <x v="0"/>
    <x v="1"/>
    <n v="6.8"/>
    <x v="1"/>
    <x v="1"/>
    <x v="0"/>
    <x v="21"/>
    <x v="0"/>
    <n v="4"/>
    <s v="Mild"/>
    <x v="0"/>
    <n v="9"/>
    <x v="0"/>
  </r>
  <r>
    <n v="294"/>
    <x v="3"/>
    <x v="1"/>
    <x v="1"/>
    <x v="2"/>
    <x v="2"/>
    <n v="4.9000000000000004"/>
    <x v="0"/>
    <x v="0"/>
    <x v="0"/>
    <x v="13"/>
    <x v="0"/>
    <n v="6"/>
    <s v="Moderate"/>
    <x v="2"/>
    <n v="7"/>
    <x v="0"/>
  </r>
  <r>
    <n v="295"/>
    <x v="1"/>
    <x v="1"/>
    <x v="0"/>
    <x v="0"/>
    <x v="4"/>
    <n v="4.2"/>
    <x v="0"/>
    <x v="3"/>
    <x v="1"/>
    <x v="29"/>
    <x v="1"/>
    <n v="7"/>
    <s v="Sever"/>
    <x v="0"/>
    <n v="5"/>
    <x v="5"/>
  </r>
  <r>
    <n v="296"/>
    <x v="5"/>
    <x v="1"/>
    <x v="1"/>
    <x v="2"/>
    <x v="5"/>
    <n v="3.4"/>
    <x v="2"/>
    <x v="0"/>
    <x v="1"/>
    <x v="32"/>
    <x v="1"/>
    <n v="8"/>
    <s v="Sever"/>
    <x v="2"/>
    <n v="4"/>
    <x v="2"/>
  </r>
  <r>
    <n v="297"/>
    <x v="0"/>
    <x v="0"/>
    <x v="0"/>
    <x v="0"/>
    <x v="7"/>
    <n v="2.9"/>
    <x v="2"/>
    <x v="6"/>
    <x v="1"/>
    <x v="43"/>
    <x v="1"/>
    <n v="8"/>
    <s v="Sever"/>
    <x v="2"/>
    <m/>
    <x v="8"/>
  </r>
  <r>
    <n v="298"/>
    <x v="3"/>
    <x v="1"/>
    <x v="1"/>
    <x v="2"/>
    <x v="11"/>
    <n v="5.0999999999999996"/>
    <x v="0"/>
    <x v="1"/>
    <x v="0"/>
    <x v="2"/>
    <x v="1"/>
    <n v="5"/>
    <s v="Moderate"/>
    <x v="0"/>
    <n v="8"/>
    <x v="0"/>
  </r>
  <r>
    <n v="299"/>
    <x v="1"/>
    <x v="1"/>
    <x v="0"/>
    <x v="0"/>
    <x v="8"/>
    <n v="4.4000000000000004"/>
    <x v="0"/>
    <x v="7"/>
    <x v="0"/>
    <x v="20"/>
    <x v="1"/>
    <n v="6"/>
    <s v="Moderate"/>
    <x v="2"/>
    <m/>
    <x v="9"/>
  </r>
  <r>
    <n v="300"/>
    <x v="5"/>
    <x v="1"/>
    <x v="1"/>
    <x v="2"/>
    <x v="13"/>
    <n v="3.9"/>
    <x v="2"/>
    <x v="8"/>
    <x v="1"/>
    <x v="32"/>
    <x v="1"/>
    <n v="7"/>
    <s v="Sever"/>
    <x v="0"/>
    <m/>
    <x v="10"/>
  </r>
  <r>
    <n v="301"/>
    <x v="0"/>
    <x v="0"/>
    <x v="0"/>
    <x v="0"/>
    <x v="1"/>
    <n v="6.9"/>
    <x v="1"/>
    <x v="0"/>
    <x v="0"/>
    <x v="18"/>
    <x v="0"/>
    <n v="4"/>
    <s v="Mild"/>
    <x v="2"/>
    <n v="9"/>
    <x v="0"/>
  </r>
  <r>
    <n v="302"/>
    <x v="3"/>
    <x v="1"/>
    <x v="1"/>
    <x v="2"/>
    <x v="2"/>
    <n v="4.8"/>
    <x v="0"/>
    <x v="3"/>
    <x v="0"/>
    <x v="10"/>
    <x v="0"/>
    <n v="6"/>
    <s v="Moderate"/>
    <x v="0"/>
    <n v="7"/>
    <x v="0"/>
  </r>
  <r>
    <n v="303"/>
    <x v="1"/>
    <x v="1"/>
    <x v="0"/>
    <x v="0"/>
    <x v="4"/>
    <n v="4.0999999999999996"/>
    <x v="0"/>
    <x v="0"/>
    <x v="1"/>
    <x v="30"/>
    <x v="1"/>
    <n v="7"/>
    <s v="Sever"/>
    <x v="2"/>
    <n v="5"/>
    <x v="5"/>
  </r>
  <r>
    <n v="304"/>
    <x v="5"/>
    <x v="1"/>
    <x v="1"/>
    <x v="2"/>
    <x v="5"/>
    <n v="3.3"/>
    <x v="2"/>
    <x v="3"/>
    <x v="1"/>
    <x v="33"/>
    <x v="1"/>
    <n v="8"/>
    <s v="Sever"/>
    <x v="0"/>
    <n v="4"/>
    <x v="2"/>
  </r>
  <r>
    <n v="305"/>
    <x v="0"/>
    <x v="0"/>
    <x v="0"/>
    <x v="0"/>
    <x v="7"/>
    <n v="2.8"/>
    <x v="2"/>
    <x v="6"/>
    <x v="1"/>
    <x v="45"/>
    <x v="1"/>
    <n v="8"/>
    <s v="Sever"/>
    <x v="2"/>
    <m/>
    <x v="8"/>
  </r>
  <r>
    <n v="306"/>
    <x v="3"/>
    <x v="1"/>
    <x v="1"/>
    <x v="2"/>
    <x v="11"/>
    <n v="5"/>
    <x v="0"/>
    <x v="0"/>
    <x v="0"/>
    <x v="23"/>
    <x v="1"/>
    <n v="5"/>
    <s v="Moderate"/>
    <x v="2"/>
    <n v="7"/>
    <x v="0"/>
  </r>
  <r>
    <n v="307"/>
    <x v="1"/>
    <x v="1"/>
    <x v="0"/>
    <x v="0"/>
    <x v="8"/>
    <n v="4.3"/>
    <x v="0"/>
    <x v="7"/>
    <x v="0"/>
    <x v="28"/>
    <x v="1"/>
    <n v="6"/>
    <s v="Moderate"/>
    <x v="0"/>
    <m/>
    <x v="9"/>
  </r>
  <r>
    <n v="308"/>
    <x v="5"/>
    <x v="1"/>
    <x v="1"/>
    <x v="2"/>
    <x v="13"/>
    <n v="3.8"/>
    <x v="2"/>
    <x v="8"/>
    <x v="1"/>
    <x v="33"/>
    <x v="1"/>
    <n v="7"/>
    <s v="Sever"/>
    <x v="2"/>
    <m/>
    <x v="10"/>
  </r>
  <r>
    <n v="309"/>
    <x v="0"/>
    <x v="0"/>
    <x v="0"/>
    <x v="0"/>
    <x v="1"/>
    <n v="7"/>
    <x v="1"/>
    <x v="1"/>
    <x v="0"/>
    <x v="22"/>
    <x v="0"/>
    <n v="4"/>
    <s v="Mild"/>
    <x v="0"/>
    <n v="9"/>
    <x v="0"/>
  </r>
  <r>
    <n v="310"/>
    <x v="3"/>
    <x v="1"/>
    <x v="1"/>
    <x v="2"/>
    <x v="2"/>
    <n v="4.7"/>
    <x v="0"/>
    <x v="0"/>
    <x v="0"/>
    <x v="17"/>
    <x v="0"/>
    <n v="6"/>
    <s v="Moderate"/>
    <x v="2"/>
    <n v="7"/>
    <x v="0"/>
  </r>
  <r>
    <n v="311"/>
    <x v="1"/>
    <x v="1"/>
    <x v="0"/>
    <x v="0"/>
    <x v="4"/>
    <n v="4"/>
    <x v="0"/>
    <x v="3"/>
    <x v="1"/>
    <x v="11"/>
    <x v="1"/>
    <n v="7"/>
    <s v="Sever"/>
    <x v="0"/>
    <n v="5"/>
    <x v="5"/>
  </r>
  <r>
    <n v="312"/>
    <x v="5"/>
    <x v="1"/>
    <x v="1"/>
    <x v="2"/>
    <x v="5"/>
    <n v="3.2"/>
    <x v="2"/>
    <x v="0"/>
    <x v="1"/>
    <x v="34"/>
    <x v="1"/>
    <n v="8"/>
    <s v="Sever"/>
    <x v="2"/>
    <n v="4"/>
    <x v="2"/>
  </r>
  <r>
    <n v="313"/>
    <x v="0"/>
    <x v="0"/>
    <x v="0"/>
    <x v="0"/>
    <x v="7"/>
    <n v="2.7"/>
    <x v="2"/>
    <x v="6"/>
    <x v="1"/>
    <x v="47"/>
    <x v="1"/>
    <n v="8"/>
    <s v="Sever"/>
    <x v="2"/>
    <m/>
    <x v="8"/>
  </r>
  <r>
    <n v="314"/>
    <x v="3"/>
    <x v="1"/>
    <x v="1"/>
    <x v="2"/>
    <x v="11"/>
    <n v="4.9000000000000004"/>
    <x v="0"/>
    <x v="1"/>
    <x v="0"/>
    <x v="8"/>
    <x v="1"/>
    <n v="5"/>
    <s v="Moderate"/>
    <x v="0"/>
    <n v="8"/>
    <x v="0"/>
  </r>
  <r>
    <n v="315"/>
    <x v="1"/>
    <x v="1"/>
    <x v="0"/>
    <x v="0"/>
    <x v="8"/>
    <n v="4.2"/>
    <x v="0"/>
    <x v="7"/>
    <x v="0"/>
    <x v="29"/>
    <x v="1"/>
    <n v="6"/>
    <s v="Moderate"/>
    <x v="2"/>
    <m/>
    <x v="9"/>
  </r>
  <r>
    <n v="316"/>
    <x v="5"/>
    <x v="1"/>
    <x v="1"/>
    <x v="2"/>
    <x v="13"/>
    <n v="3.7"/>
    <x v="2"/>
    <x v="8"/>
    <x v="1"/>
    <x v="34"/>
    <x v="1"/>
    <n v="7"/>
    <s v="Sever"/>
    <x v="0"/>
    <m/>
    <x v="10"/>
  </r>
  <r>
    <n v="317"/>
    <x v="0"/>
    <x v="0"/>
    <x v="0"/>
    <x v="0"/>
    <x v="1"/>
    <n v="7.1"/>
    <x v="1"/>
    <x v="0"/>
    <x v="0"/>
    <x v="1"/>
    <x v="0"/>
    <n v="4"/>
    <s v="Mild"/>
    <x v="2"/>
    <n v="9"/>
    <x v="0"/>
  </r>
  <r>
    <n v="318"/>
    <x v="3"/>
    <x v="1"/>
    <x v="1"/>
    <x v="2"/>
    <x v="2"/>
    <n v="4.5999999999999996"/>
    <x v="0"/>
    <x v="3"/>
    <x v="0"/>
    <x v="2"/>
    <x v="1"/>
    <n v="6"/>
    <s v="Moderate"/>
    <x v="0"/>
    <n v="7"/>
    <x v="0"/>
  </r>
  <r>
    <n v="319"/>
    <x v="1"/>
    <x v="1"/>
    <x v="0"/>
    <x v="0"/>
    <x v="4"/>
    <n v="3.9"/>
    <x v="2"/>
    <x v="0"/>
    <x v="1"/>
    <x v="31"/>
    <x v="1"/>
    <n v="7"/>
    <s v="Sever"/>
    <x v="2"/>
    <n v="5"/>
    <x v="5"/>
  </r>
  <r>
    <n v="320"/>
    <x v="5"/>
    <x v="1"/>
    <x v="1"/>
    <x v="2"/>
    <x v="5"/>
    <n v="3.1"/>
    <x v="2"/>
    <x v="3"/>
    <x v="1"/>
    <x v="36"/>
    <x v="1"/>
    <n v="8"/>
    <s v="Sever"/>
    <x v="0"/>
    <n v="4"/>
    <x v="2"/>
  </r>
  <r>
    <n v="321"/>
    <x v="0"/>
    <x v="0"/>
    <x v="0"/>
    <x v="0"/>
    <x v="10"/>
    <n v="5.2"/>
    <x v="0"/>
    <x v="0"/>
    <x v="0"/>
    <x v="10"/>
    <x v="0"/>
    <n v="6"/>
    <s v="Moderate"/>
    <x v="2"/>
    <n v="7"/>
    <x v="0"/>
  </r>
  <r>
    <n v="322"/>
    <x v="3"/>
    <x v="1"/>
    <x v="1"/>
    <x v="2"/>
    <x v="17"/>
    <n v="4.0999999999999996"/>
    <x v="0"/>
    <x v="3"/>
    <x v="1"/>
    <x v="11"/>
    <x v="1"/>
    <n v="8"/>
    <s v="Sever"/>
    <x v="0"/>
    <n v="4"/>
    <x v="2"/>
  </r>
  <r>
    <n v="323"/>
    <x v="1"/>
    <x v="1"/>
    <x v="0"/>
    <x v="0"/>
    <x v="24"/>
    <n v="5"/>
    <x v="0"/>
    <x v="0"/>
    <x v="0"/>
    <x v="2"/>
    <x v="1"/>
    <n v="7"/>
    <s v="Sever"/>
    <x v="2"/>
    <n v="6"/>
    <x v="5"/>
  </r>
  <r>
    <n v="324"/>
    <x v="5"/>
    <x v="1"/>
    <x v="1"/>
    <x v="2"/>
    <x v="109"/>
    <n v="5.8"/>
    <x v="0"/>
    <x v="9"/>
    <x v="0"/>
    <x v="0"/>
    <x v="0"/>
    <n v="5"/>
    <s v="Moderate"/>
    <x v="0"/>
    <n v="8"/>
    <x v="0"/>
  </r>
  <r>
    <n v="325"/>
    <x v="0"/>
    <x v="0"/>
    <x v="0"/>
    <x v="0"/>
    <x v="20"/>
    <n v="4"/>
    <x v="0"/>
    <x v="0"/>
    <x v="1"/>
    <x v="31"/>
    <x v="1"/>
    <n v="8"/>
    <s v="Sever"/>
    <x v="2"/>
    <n v="4"/>
    <x v="2"/>
  </r>
  <r>
    <n v="326"/>
    <x v="3"/>
    <x v="1"/>
    <x v="1"/>
    <x v="2"/>
    <x v="34"/>
    <n v="5.5"/>
    <x v="0"/>
    <x v="0"/>
    <x v="0"/>
    <x v="13"/>
    <x v="0"/>
    <n v="6"/>
    <s v="Moderate"/>
    <x v="2"/>
    <n v="7"/>
    <x v="0"/>
  </r>
  <r>
    <n v="327"/>
    <x v="1"/>
    <x v="1"/>
    <x v="0"/>
    <x v="0"/>
    <x v="1"/>
    <n v="6.8"/>
    <x v="1"/>
    <x v="1"/>
    <x v="0"/>
    <x v="9"/>
    <x v="0"/>
    <n v="5"/>
    <s v="Moderate"/>
    <x v="0"/>
    <n v="9"/>
    <x v="0"/>
  </r>
  <r>
    <n v="328"/>
    <x v="5"/>
    <x v="1"/>
    <x v="1"/>
    <x v="2"/>
    <x v="12"/>
    <n v="5.6"/>
    <x v="0"/>
    <x v="9"/>
    <x v="0"/>
    <x v="19"/>
    <x v="0"/>
    <n v="6"/>
    <s v="Moderate"/>
    <x v="2"/>
    <n v="7"/>
    <x v="0"/>
  </r>
  <r>
    <n v="329"/>
    <x v="0"/>
    <x v="0"/>
    <x v="0"/>
    <x v="0"/>
    <x v="9"/>
    <n v="4.5"/>
    <x v="0"/>
    <x v="0"/>
    <x v="1"/>
    <x v="28"/>
    <x v="1"/>
    <n v="7"/>
    <s v="Sever"/>
    <x v="0"/>
    <n v="5"/>
    <x v="2"/>
  </r>
  <r>
    <n v="330"/>
    <x v="3"/>
    <x v="1"/>
    <x v="1"/>
    <x v="2"/>
    <x v="3"/>
    <n v="5.3"/>
    <x v="0"/>
    <x v="0"/>
    <x v="0"/>
    <x v="17"/>
    <x v="0"/>
    <n v="6"/>
    <s v="Moderate"/>
    <x v="2"/>
    <n v="7"/>
    <x v="0"/>
  </r>
  <r>
    <n v="331"/>
    <x v="1"/>
    <x v="1"/>
    <x v="0"/>
    <x v="0"/>
    <x v="10"/>
    <n v="5.0999999999999996"/>
    <x v="0"/>
    <x v="1"/>
    <x v="0"/>
    <x v="13"/>
    <x v="0"/>
    <n v="6"/>
    <s v="Moderate"/>
    <x v="2"/>
    <n v="7"/>
    <x v="0"/>
  </r>
  <r>
    <n v="332"/>
    <x v="5"/>
    <x v="1"/>
    <x v="1"/>
    <x v="2"/>
    <x v="17"/>
    <n v="3.9"/>
    <x v="2"/>
    <x v="3"/>
    <x v="1"/>
    <x v="31"/>
    <x v="1"/>
    <n v="8"/>
    <s v="Sever"/>
    <x v="0"/>
    <n v="4"/>
    <x v="2"/>
  </r>
  <r>
    <n v="333"/>
    <x v="0"/>
    <x v="0"/>
    <x v="0"/>
    <x v="0"/>
    <x v="24"/>
    <n v="4.8"/>
    <x v="0"/>
    <x v="0"/>
    <x v="0"/>
    <x v="23"/>
    <x v="1"/>
    <n v="7"/>
    <s v="Sever"/>
    <x v="2"/>
    <n v="6"/>
    <x v="5"/>
  </r>
  <r>
    <n v="334"/>
    <x v="3"/>
    <x v="1"/>
    <x v="1"/>
    <x v="2"/>
    <x v="109"/>
    <n v="5.9"/>
    <x v="0"/>
    <x v="9"/>
    <x v="0"/>
    <x v="25"/>
    <x v="0"/>
    <n v="5"/>
    <s v="Moderate"/>
    <x v="0"/>
    <n v="8"/>
    <x v="0"/>
  </r>
  <r>
    <n v="335"/>
    <x v="1"/>
    <x v="1"/>
    <x v="0"/>
    <x v="0"/>
    <x v="20"/>
    <n v="3.8"/>
    <x v="2"/>
    <x v="0"/>
    <x v="1"/>
    <x v="5"/>
    <x v="1"/>
    <n v="8"/>
    <s v="Sever"/>
    <x v="2"/>
    <n v="4"/>
    <x v="2"/>
  </r>
  <r>
    <n v="336"/>
    <x v="5"/>
    <x v="1"/>
    <x v="1"/>
    <x v="2"/>
    <x v="34"/>
    <n v="5.4"/>
    <x v="0"/>
    <x v="1"/>
    <x v="0"/>
    <x v="10"/>
    <x v="0"/>
    <n v="6"/>
    <s v="Moderate"/>
    <x v="2"/>
    <n v="7"/>
    <x v="0"/>
  </r>
  <r>
    <n v="337"/>
    <x v="0"/>
    <x v="0"/>
    <x v="0"/>
    <x v="0"/>
    <x v="1"/>
    <n v="6.9"/>
    <x v="1"/>
    <x v="0"/>
    <x v="0"/>
    <x v="16"/>
    <x v="0"/>
    <n v="5"/>
    <s v="Moderate"/>
    <x v="0"/>
    <n v="9"/>
    <x v="0"/>
  </r>
  <r>
    <n v="338"/>
    <x v="3"/>
    <x v="1"/>
    <x v="1"/>
    <x v="2"/>
    <x v="12"/>
    <n v="5.7"/>
    <x v="0"/>
    <x v="9"/>
    <x v="0"/>
    <x v="0"/>
    <x v="0"/>
    <n v="6"/>
    <s v="Moderate"/>
    <x v="2"/>
    <n v="7"/>
    <x v="0"/>
  </r>
  <r>
    <n v="339"/>
    <x v="1"/>
    <x v="1"/>
    <x v="0"/>
    <x v="0"/>
    <x v="9"/>
    <n v="4.4000000000000004"/>
    <x v="0"/>
    <x v="0"/>
    <x v="1"/>
    <x v="29"/>
    <x v="1"/>
    <n v="7"/>
    <s v="Sever"/>
    <x v="0"/>
    <n v="5"/>
    <x v="2"/>
  </r>
  <r>
    <n v="340"/>
    <x v="5"/>
    <x v="1"/>
    <x v="1"/>
    <x v="2"/>
    <x v="3"/>
    <n v="5.2"/>
    <x v="0"/>
    <x v="1"/>
    <x v="0"/>
    <x v="2"/>
    <x v="1"/>
    <n v="6"/>
    <s v="Moderate"/>
    <x v="2"/>
    <n v="7"/>
    <x v="0"/>
  </r>
  <r>
    <n v="341"/>
    <x v="0"/>
    <x v="0"/>
    <x v="0"/>
    <x v="0"/>
    <x v="10"/>
    <n v="5"/>
    <x v="0"/>
    <x v="0"/>
    <x v="0"/>
    <x v="17"/>
    <x v="0"/>
    <n v="6"/>
    <s v="Moderate"/>
    <x v="2"/>
    <n v="7"/>
    <x v="0"/>
  </r>
  <r>
    <n v="342"/>
    <x v="3"/>
    <x v="1"/>
    <x v="1"/>
    <x v="2"/>
    <x v="17"/>
    <n v="3.8"/>
    <x v="2"/>
    <x v="3"/>
    <x v="1"/>
    <x v="5"/>
    <x v="1"/>
    <n v="8"/>
    <s v="Sever"/>
    <x v="0"/>
    <n v="4"/>
    <x v="2"/>
  </r>
  <r>
    <n v="343"/>
    <x v="1"/>
    <x v="1"/>
    <x v="0"/>
    <x v="0"/>
    <x v="24"/>
    <n v="4.7"/>
    <x v="0"/>
    <x v="1"/>
    <x v="0"/>
    <x v="8"/>
    <x v="1"/>
    <n v="7"/>
    <s v="Sever"/>
    <x v="2"/>
    <n v="6"/>
    <x v="5"/>
  </r>
  <r>
    <n v="344"/>
    <x v="5"/>
    <x v="1"/>
    <x v="1"/>
    <x v="2"/>
    <x v="109"/>
    <n v="6"/>
    <x v="1"/>
    <x v="9"/>
    <x v="0"/>
    <x v="26"/>
    <x v="0"/>
    <n v="5"/>
    <s v="Moderate"/>
    <x v="0"/>
    <n v="8"/>
    <x v="0"/>
  </r>
  <r>
    <n v="345"/>
    <x v="0"/>
    <x v="0"/>
    <x v="0"/>
    <x v="0"/>
    <x v="20"/>
    <n v="3.7"/>
    <x v="2"/>
    <x v="0"/>
    <x v="1"/>
    <x v="32"/>
    <x v="1"/>
    <n v="8"/>
    <s v="Sever"/>
    <x v="2"/>
    <n v="4"/>
    <x v="2"/>
  </r>
  <r>
    <n v="346"/>
    <x v="3"/>
    <x v="1"/>
    <x v="1"/>
    <x v="2"/>
    <x v="34"/>
    <n v="5.3"/>
    <x v="0"/>
    <x v="0"/>
    <x v="0"/>
    <x v="17"/>
    <x v="0"/>
    <n v="6"/>
    <s v="Moderate"/>
    <x v="2"/>
    <n v="7"/>
    <x v="0"/>
  </r>
  <r>
    <n v="347"/>
    <x v="1"/>
    <x v="1"/>
    <x v="0"/>
    <x v="0"/>
    <x v="1"/>
    <n v="7"/>
    <x v="1"/>
    <x v="1"/>
    <x v="0"/>
    <x v="21"/>
    <x v="0"/>
    <n v="5"/>
    <s v="Moderate"/>
    <x v="0"/>
    <n v="9"/>
    <x v="0"/>
  </r>
  <r>
    <n v="348"/>
    <x v="5"/>
    <x v="1"/>
    <x v="1"/>
    <x v="2"/>
    <x v="12"/>
    <n v="5.8"/>
    <x v="0"/>
    <x v="9"/>
    <x v="0"/>
    <x v="25"/>
    <x v="0"/>
    <n v="6"/>
    <s v="Moderate"/>
    <x v="2"/>
    <n v="7"/>
    <x v="0"/>
  </r>
  <r>
    <n v="349"/>
    <x v="0"/>
    <x v="0"/>
    <x v="0"/>
    <x v="0"/>
    <x v="9"/>
    <n v="4.3"/>
    <x v="0"/>
    <x v="0"/>
    <x v="1"/>
    <x v="30"/>
    <x v="1"/>
    <n v="7"/>
    <s v="Sever"/>
    <x v="0"/>
    <n v="5"/>
    <x v="2"/>
  </r>
  <r>
    <n v="350"/>
    <x v="3"/>
    <x v="1"/>
    <x v="1"/>
    <x v="2"/>
    <x v="3"/>
    <n v="5.0999999999999996"/>
    <x v="0"/>
    <x v="0"/>
    <x v="0"/>
    <x v="23"/>
    <x v="1"/>
    <n v="6"/>
    <s v="Moderate"/>
    <x v="2"/>
    <n v="7"/>
    <x v="0"/>
  </r>
  <r>
    <n v="351"/>
    <x v="1"/>
    <x v="1"/>
    <x v="0"/>
    <x v="0"/>
    <x v="10"/>
    <n v="4.9000000000000004"/>
    <x v="0"/>
    <x v="1"/>
    <x v="0"/>
    <x v="2"/>
    <x v="1"/>
    <n v="6"/>
    <s v="Moderate"/>
    <x v="2"/>
    <n v="7"/>
    <x v="0"/>
  </r>
  <r>
    <n v="352"/>
    <x v="5"/>
    <x v="1"/>
    <x v="1"/>
    <x v="2"/>
    <x v="17"/>
    <n v="3.7"/>
    <x v="2"/>
    <x v="3"/>
    <x v="1"/>
    <x v="32"/>
    <x v="1"/>
    <n v="8"/>
    <s v="Sever"/>
    <x v="0"/>
    <n v="4"/>
    <x v="2"/>
  </r>
  <r>
    <n v="353"/>
    <x v="0"/>
    <x v="0"/>
    <x v="0"/>
    <x v="0"/>
    <x v="24"/>
    <n v="4.5999999999999996"/>
    <x v="0"/>
    <x v="0"/>
    <x v="0"/>
    <x v="15"/>
    <x v="1"/>
    <n v="7"/>
    <s v="Sever"/>
    <x v="2"/>
    <n v="6"/>
    <x v="5"/>
  </r>
  <r>
    <n v="354"/>
    <x v="3"/>
    <x v="1"/>
    <x v="1"/>
    <x v="2"/>
    <x v="109"/>
    <n v="6.1"/>
    <x v="1"/>
    <x v="9"/>
    <x v="0"/>
    <x v="6"/>
    <x v="0"/>
    <n v="5"/>
    <s v="Moderate"/>
    <x v="0"/>
    <n v="8"/>
    <x v="0"/>
  </r>
  <r>
    <n v="355"/>
    <x v="1"/>
    <x v="1"/>
    <x v="0"/>
    <x v="0"/>
    <x v="20"/>
    <n v="3.6"/>
    <x v="2"/>
    <x v="0"/>
    <x v="1"/>
    <x v="33"/>
    <x v="1"/>
    <n v="8"/>
    <s v="Sever"/>
    <x v="2"/>
    <n v="4"/>
    <x v="2"/>
  </r>
  <r>
    <n v="356"/>
    <x v="5"/>
    <x v="1"/>
    <x v="1"/>
    <x v="2"/>
    <x v="34"/>
    <n v="5.2"/>
    <x v="0"/>
    <x v="1"/>
    <x v="0"/>
    <x v="2"/>
    <x v="1"/>
    <n v="6"/>
    <s v="Moderate"/>
    <x v="2"/>
    <n v="7"/>
    <x v="0"/>
  </r>
  <r>
    <n v="357"/>
    <x v="0"/>
    <x v="0"/>
    <x v="0"/>
    <x v="0"/>
    <x v="1"/>
    <n v="7.1"/>
    <x v="1"/>
    <x v="0"/>
    <x v="0"/>
    <x v="18"/>
    <x v="0"/>
    <n v="5"/>
    <s v="Moderate"/>
    <x v="0"/>
    <n v="9"/>
    <x v="0"/>
  </r>
  <r>
    <n v="358"/>
    <x v="3"/>
    <x v="1"/>
    <x v="1"/>
    <x v="2"/>
    <x v="12"/>
    <n v="5.9"/>
    <x v="0"/>
    <x v="9"/>
    <x v="0"/>
    <x v="26"/>
    <x v="0"/>
    <n v="6"/>
    <s v="Moderate"/>
    <x v="2"/>
    <n v="7"/>
    <x v="0"/>
  </r>
  <r>
    <n v="359"/>
    <x v="1"/>
    <x v="1"/>
    <x v="0"/>
    <x v="0"/>
    <x v="9"/>
    <n v="4.2"/>
    <x v="0"/>
    <x v="0"/>
    <x v="1"/>
    <x v="11"/>
    <x v="1"/>
    <n v="7"/>
    <s v="Sever"/>
    <x v="0"/>
    <n v="5"/>
    <x v="2"/>
  </r>
  <r>
    <n v="360"/>
    <x v="5"/>
    <x v="1"/>
    <x v="1"/>
    <x v="2"/>
    <x v="3"/>
    <n v="5"/>
    <x v="0"/>
    <x v="1"/>
    <x v="0"/>
    <x v="8"/>
    <x v="1"/>
    <n v="6"/>
    <s v="Moderate"/>
    <x v="2"/>
    <n v="7"/>
    <x v="0"/>
  </r>
  <r>
    <n v="361"/>
    <x v="0"/>
    <x v="0"/>
    <x v="0"/>
    <x v="0"/>
    <x v="10"/>
    <n v="4.8"/>
    <x v="0"/>
    <x v="0"/>
    <x v="0"/>
    <x v="23"/>
    <x v="1"/>
    <n v="6"/>
    <s v="Moderate"/>
    <x v="2"/>
    <n v="7"/>
    <x v="0"/>
  </r>
  <r>
    <n v="362"/>
    <x v="3"/>
    <x v="1"/>
    <x v="1"/>
    <x v="2"/>
    <x v="17"/>
    <n v="3.6"/>
    <x v="2"/>
    <x v="3"/>
    <x v="1"/>
    <x v="33"/>
    <x v="1"/>
    <n v="8"/>
    <s v="Sever"/>
    <x v="0"/>
    <n v="4"/>
    <x v="2"/>
  </r>
  <r>
    <n v="363"/>
    <x v="1"/>
    <x v="1"/>
    <x v="0"/>
    <x v="0"/>
    <x v="24"/>
    <n v="4.5"/>
    <x v="0"/>
    <x v="1"/>
    <x v="0"/>
    <x v="20"/>
    <x v="1"/>
    <n v="7"/>
    <s v="Sever"/>
    <x v="2"/>
    <n v="6"/>
    <x v="5"/>
  </r>
  <r>
    <n v="364"/>
    <x v="5"/>
    <x v="1"/>
    <x v="1"/>
    <x v="2"/>
    <x v="109"/>
    <n v="6.2"/>
    <x v="1"/>
    <x v="9"/>
    <x v="0"/>
    <x v="27"/>
    <x v="0"/>
    <n v="5"/>
    <s v="Moderate"/>
    <x v="0"/>
    <n v="8"/>
    <x v="0"/>
  </r>
  <r>
    <n v="365"/>
    <x v="0"/>
    <x v="0"/>
    <x v="0"/>
    <x v="0"/>
    <x v="20"/>
    <n v="3.5"/>
    <x v="2"/>
    <x v="0"/>
    <x v="1"/>
    <x v="34"/>
    <x v="1"/>
    <n v="8"/>
    <s v="Sever"/>
    <x v="2"/>
    <n v="4"/>
    <x v="2"/>
  </r>
  <r>
    <n v="366"/>
    <x v="3"/>
    <x v="1"/>
    <x v="1"/>
    <x v="2"/>
    <x v="34"/>
    <n v="5.0999999999999996"/>
    <x v="0"/>
    <x v="0"/>
    <x v="0"/>
    <x v="23"/>
    <x v="1"/>
    <n v="6"/>
    <s v="Moderate"/>
    <x v="2"/>
    <n v="7"/>
    <x v="0"/>
  </r>
  <r>
    <n v="367"/>
    <x v="1"/>
    <x v="1"/>
    <x v="0"/>
    <x v="0"/>
    <x v="1"/>
    <n v="7.2"/>
    <x v="1"/>
    <x v="1"/>
    <x v="0"/>
    <x v="22"/>
    <x v="0"/>
    <n v="5"/>
    <s v="Moderate"/>
    <x v="0"/>
    <n v="9"/>
    <x v="0"/>
  </r>
  <r>
    <n v="368"/>
    <x v="5"/>
    <x v="1"/>
    <x v="1"/>
    <x v="2"/>
    <x v="12"/>
    <n v="6"/>
    <x v="1"/>
    <x v="9"/>
    <x v="0"/>
    <x v="6"/>
    <x v="0"/>
    <n v="6"/>
    <s v="Moderate"/>
    <x v="2"/>
    <n v="7"/>
    <x v="0"/>
  </r>
  <r>
    <n v="369"/>
    <x v="0"/>
    <x v="0"/>
    <x v="0"/>
    <x v="0"/>
    <x v="9"/>
    <n v="4.0999999999999996"/>
    <x v="0"/>
    <x v="0"/>
    <x v="1"/>
    <x v="31"/>
    <x v="1"/>
    <n v="7"/>
    <s v="Sever"/>
    <x v="0"/>
    <n v="5"/>
    <x v="2"/>
  </r>
  <r>
    <n v="370"/>
    <x v="3"/>
    <x v="1"/>
    <x v="1"/>
    <x v="2"/>
    <x v="3"/>
    <n v="4.9000000000000004"/>
    <x v="0"/>
    <x v="0"/>
    <x v="0"/>
    <x v="15"/>
    <x v="1"/>
    <n v="6"/>
    <s v="Moderate"/>
    <x v="2"/>
    <n v="7"/>
    <x v="0"/>
  </r>
  <r>
    <n v="371"/>
    <x v="1"/>
    <x v="1"/>
    <x v="0"/>
    <x v="0"/>
    <x v="10"/>
    <n v="4.7"/>
    <x v="0"/>
    <x v="1"/>
    <x v="0"/>
    <x v="8"/>
    <x v="1"/>
    <n v="6"/>
    <s v="Moderate"/>
    <x v="2"/>
    <n v="7"/>
    <x v="0"/>
  </r>
  <r>
    <n v="372"/>
    <x v="5"/>
    <x v="1"/>
    <x v="1"/>
    <x v="2"/>
    <x v="17"/>
    <n v="3.5"/>
    <x v="2"/>
    <x v="3"/>
    <x v="1"/>
    <x v="34"/>
    <x v="1"/>
    <n v="8"/>
    <s v="Sever"/>
    <x v="0"/>
    <n v="4"/>
    <x v="2"/>
  </r>
  <r>
    <n v="373"/>
    <x v="0"/>
    <x v="0"/>
    <x v="0"/>
    <x v="0"/>
    <x v="24"/>
    <n v="4.4000000000000004"/>
    <x v="0"/>
    <x v="0"/>
    <x v="0"/>
    <x v="28"/>
    <x v="1"/>
    <n v="7"/>
    <s v="Sever"/>
    <x v="2"/>
    <n v="6"/>
    <x v="5"/>
  </r>
  <r>
    <n v="374"/>
    <x v="3"/>
    <x v="1"/>
    <x v="1"/>
    <x v="2"/>
    <x v="109"/>
    <n v="6.3"/>
    <x v="1"/>
    <x v="9"/>
    <x v="0"/>
    <x v="3"/>
    <x v="0"/>
    <n v="5"/>
    <s v="Moderate"/>
    <x v="0"/>
    <n v="8"/>
    <x v="0"/>
  </r>
  <r>
    <n v="375"/>
    <x v="1"/>
    <x v="1"/>
    <x v="0"/>
    <x v="0"/>
    <x v="20"/>
    <n v="3.4"/>
    <x v="2"/>
    <x v="0"/>
    <x v="1"/>
    <x v="36"/>
    <x v="1"/>
    <n v="8"/>
    <s v="Sever"/>
    <x v="2"/>
    <n v="4"/>
    <x v="2"/>
  </r>
  <r>
    <n v="376"/>
    <x v="5"/>
    <x v="1"/>
    <x v="1"/>
    <x v="2"/>
    <x v="34"/>
    <n v="5"/>
    <x v="0"/>
    <x v="1"/>
    <x v="0"/>
    <x v="8"/>
    <x v="1"/>
    <n v="6"/>
    <s v="Moderate"/>
    <x v="2"/>
    <n v="7"/>
    <x v="0"/>
  </r>
  <r>
    <n v="377"/>
    <x v="0"/>
    <x v="0"/>
    <x v="0"/>
    <x v="0"/>
    <x v="1"/>
    <n v="7.3"/>
    <x v="1"/>
    <x v="0"/>
    <x v="0"/>
    <x v="1"/>
    <x v="0"/>
    <n v="5"/>
    <s v="Moderate"/>
    <x v="0"/>
    <n v="9"/>
    <x v="0"/>
  </r>
  <r>
    <n v="378"/>
    <x v="3"/>
    <x v="1"/>
    <x v="1"/>
    <x v="2"/>
    <x v="12"/>
    <n v="6.1"/>
    <x v="1"/>
    <x v="9"/>
    <x v="0"/>
    <x v="27"/>
    <x v="0"/>
    <n v="6"/>
    <s v="Moderate"/>
    <x v="2"/>
    <n v="7"/>
    <x v="0"/>
  </r>
  <r>
    <n v="379"/>
    <x v="1"/>
    <x v="1"/>
    <x v="0"/>
    <x v="0"/>
    <x v="9"/>
    <n v="4"/>
    <x v="0"/>
    <x v="0"/>
    <x v="1"/>
    <x v="5"/>
    <x v="1"/>
    <n v="7"/>
    <s v="Sever"/>
    <x v="0"/>
    <n v="5"/>
    <x v="2"/>
  </r>
  <r>
    <n v="380"/>
    <x v="5"/>
    <x v="1"/>
    <x v="1"/>
    <x v="2"/>
    <x v="3"/>
    <n v="4.8"/>
    <x v="0"/>
    <x v="1"/>
    <x v="0"/>
    <x v="20"/>
    <x v="1"/>
    <n v="6"/>
    <s v="Moderate"/>
    <x v="2"/>
    <n v="7"/>
    <x v="0"/>
  </r>
  <r>
    <n v="381"/>
    <x v="0"/>
    <x v="0"/>
    <x v="0"/>
    <x v="0"/>
    <x v="10"/>
    <n v="4.5999999999999996"/>
    <x v="0"/>
    <x v="0"/>
    <x v="0"/>
    <x v="15"/>
    <x v="1"/>
    <n v="6"/>
    <s v="Moderate"/>
    <x v="2"/>
    <n v="7"/>
    <x v="0"/>
  </r>
  <r>
    <n v="382"/>
    <x v="3"/>
    <x v="1"/>
    <x v="1"/>
    <x v="2"/>
    <x v="17"/>
    <n v="3.4"/>
    <x v="2"/>
    <x v="3"/>
    <x v="1"/>
    <x v="36"/>
    <x v="1"/>
    <n v="8"/>
    <s v="Sever"/>
    <x v="0"/>
    <n v="4"/>
    <x v="2"/>
  </r>
  <r>
    <n v="383"/>
    <x v="1"/>
    <x v="1"/>
    <x v="0"/>
    <x v="0"/>
    <x v="24"/>
    <n v="4.3"/>
    <x v="0"/>
    <x v="1"/>
    <x v="0"/>
    <x v="29"/>
    <x v="1"/>
    <n v="7"/>
    <s v="Sever"/>
    <x v="2"/>
    <n v="6"/>
    <x v="5"/>
  </r>
  <r>
    <n v="384"/>
    <x v="5"/>
    <x v="1"/>
    <x v="1"/>
    <x v="2"/>
    <x v="109"/>
    <n v="6.4"/>
    <x v="1"/>
    <x v="9"/>
    <x v="0"/>
    <x v="14"/>
    <x v="0"/>
    <n v="5"/>
    <s v="Moderate"/>
    <x v="0"/>
    <n v="8"/>
    <x v="0"/>
  </r>
  <r>
    <n v="385"/>
    <x v="0"/>
    <x v="0"/>
    <x v="0"/>
    <x v="0"/>
    <x v="20"/>
    <n v="3.3"/>
    <x v="2"/>
    <x v="0"/>
    <x v="1"/>
    <x v="38"/>
    <x v="1"/>
    <n v="8"/>
    <s v="Sever"/>
    <x v="2"/>
    <n v="4"/>
    <x v="2"/>
  </r>
  <r>
    <n v="386"/>
    <x v="3"/>
    <x v="1"/>
    <x v="1"/>
    <x v="2"/>
    <x v="34"/>
    <n v="4.9000000000000004"/>
    <x v="0"/>
    <x v="0"/>
    <x v="0"/>
    <x v="15"/>
    <x v="1"/>
    <n v="6"/>
    <s v="Moderate"/>
    <x v="2"/>
    <n v="7"/>
    <x v="0"/>
  </r>
  <r>
    <n v="387"/>
    <x v="1"/>
    <x v="1"/>
    <x v="0"/>
    <x v="0"/>
    <x v="1"/>
    <n v="7.4"/>
    <x v="1"/>
    <x v="1"/>
    <x v="0"/>
    <x v="35"/>
    <x v="0"/>
    <n v="5"/>
    <s v="Moderate"/>
    <x v="0"/>
    <n v="9"/>
    <x v="0"/>
  </r>
  <r>
    <n v="388"/>
    <x v="5"/>
    <x v="1"/>
    <x v="1"/>
    <x v="2"/>
    <x v="12"/>
    <n v="6.2"/>
    <x v="1"/>
    <x v="9"/>
    <x v="0"/>
    <x v="3"/>
    <x v="0"/>
    <n v="6"/>
    <s v="Moderate"/>
    <x v="2"/>
    <n v="7"/>
    <x v="0"/>
  </r>
  <r>
    <n v="389"/>
    <x v="0"/>
    <x v="0"/>
    <x v="0"/>
    <x v="0"/>
    <x v="9"/>
    <n v="3.9"/>
    <x v="2"/>
    <x v="0"/>
    <x v="1"/>
    <x v="32"/>
    <x v="1"/>
    <n v="7"/>
    <s v="Sever"/>
    <x v="0"/>
    <n v="5"/>
    <x v="2"/>
  </r>
  <r>
    <n v="390"/>
    <x v="3"/>
    <x v="1"/>
    <x v="1"/>
    <x v="2"/>
    <x v="3"/>
    <n v="4.7"/>
    <x v="0"/>
    <x v="0"/>
    <x v="0"/>
    <x v="28"/>
    <x v="1"/>
    <n v="6"/>
    <s v="Moderate"/>
    <x v="2"/>
    <n v="7"/>
    <x v="0"/>
  </r>
  <r>
    <n v="391"/>
    <x v="1"/>
    <x v="1"/>
    <x v="0"/>
    <x v="0"/>
    <x v="10"/>
    <n v="4.5"/>
    <x v="0"/>
    <x v="1"/>
    <x v="0"/>
    <x v="20"/>
    <x v="1"/>
    <n v="6"/>
    <s v="Moderate"/>
    <x v="2"/>
    <n v="7"/>
    <x v="0"/>
  </r>
  <r>
    <n v="392"/>
    <x v="5"/>
    <x v="1"/>
    <x v="1"/>
    <x v="2"/>
    <x v="17"/>
    <n v="3.3"/>
    <x v="2"/>
    <x v="3"/>
    <x v="1"/>
    <x v="38"/>
    <x v="1"/>
    <n v="8"/>
    <s v="Sever"/>
    <x v="0"/>
    <n v="4"/>
    <x v="2"/>
  </r>
  <r>
    <n v="393"/>
    <x v="0"/>
    <x v="0"/>
    <x v="0"/>
    <x v="0"/>
    <x v="24"/>
    <n v="4.2"/>
    <x v="0"/>
    <x v="0"/>
    <x v="0"/>
    <x v="30"/>
    <x v="1"/>
    <n v="7"/>
    <s v="Sever"/>
    <x v="2"/>
    <n v="6"/>
    <x v="5"/>
  </r>
  <r>
    <n v="394"/>
    <x v="3"/>
    <x v="1"/>
    <x v="1"/>
    <x v="2"/>
    <x v="109"/>
    <n v="6.5"/>
    <x v="1"/>
    <x v="9"/>
    <x v="0"/>
    <x v="7"/>
    <x v="0"/>
    <n v="5"/>
    <s v="Moderate"/>
    <x v="0"/>
    <n v="8"/>
    <x v="0"/>
  </r>
  <r>
    <n v="395"/>
    <x v="1"/>
    <x v="1"/>
    <x v="0"/>
    <x v="0"/>
    <x v="20"/>
    <n v="3.2"/>
    <x v="2"/>
    <x v="0"/>
    <x v="1"/>
    <x v="40"/>
    <x v="1"/>
    <n v="8"/>
    <s v="Sever"/>
    <x v="2"/>
    <n v="4"/>
    <x v="2"/>
  </r>
  <r>
    <n v="396"/>
    <x v="5"/>
    <x v="1"/>
    <x v="1"/>
    <x v="2"/>
    <x v="34"/>
    <n v="4.8"/>
    <x v="0"/>
    <x v="1"/>
    <x v="0"/>
    <x v="20"/>
    <x v="1"/>
    <n v="6"/>
    <s v="Moderate"/>
    <x v="2"/>
    <n v="7"/>
    <x v="0"/>
  </r>
  <r>
    <n v="397"/>
    <x v="0"/>
    <x v="0"/>
    <x v="0"/>
    <x v="0"/>
    <x v="1"/>
    <n v="7.5"/>
    <x v="1"/>
    <x v="0"/>
    <x v="0"/>
    <x v="37"/>
    <x v="0"/>
    <n v="5"/>
    <s v="Moderate"/>
    <x v="0"/>
    <n v="9"/>
    <x v="0"/>
  </r>
  <r>
    <n v="398"/>
    <x v="3"/>
    <x v="1"/>
    <x v="1"/>
    <x v="2"/>
    <x v="12"/>
    <n v="6.3"/>
    <x v="1"/>
    <x v="9"/>
    <x v="0"/>
    <x v="14"/>
    <x v="0"/>
    <n v="6"/>
    <s v="Moderate"/>
    <x v="2"/>
    <n v="7"/>
    <x v="0"/>
  </r>
  <r>
    <n v="399"/>
    <x v="1"/>
    <x v="1"/>
    <x v="0"/>
    <x v="0"/>
    <x v="9"/>
    <n v="3.8"/>
    <x v="2"/>
    <x v="0"/>
    <x v="1"/>
    <x v="33"/>
    <x v="1"/>
    <n v="7"/>
    <s v="Sever"/>
    <x v="0"/>
    <n v="5"/>
    <x v="2"/>
  </r>
  <r>
    <n v="400"/>
    <x v="5"/>
    <x v="1"/>
    <x v="1"/>
    <x v="2"/>
    <x v="3"/>
    <n v="4.5999999999999996"/>
    <x v="0"/>
    <x v="1"/>
    <x v="0"/>
    <x v="29"/>
    <x v="1"/>
    <n v="6"/>
    <s v="Moderate"/>
    <x v="2"/>
    <n v="7"/>
    <x v="0"/>
  </r>
  <r>
    <n v="401"/>
    <x v="0"/>
    <x v="0"/>
    <x v="0"/>
    <x v="0"/>
    <x v="10"/>
    <n v="4.4000000000000004"/>
    <x v="0"/>
    <x v="0"/>
    <x v="0"/>
    <x v="28"/>
    <x v="1"/>
    <n v="6"/>
    <s v="Moderate"/>
    <x v="2"/>
    <n v="7"/>
    <x v="0"/>
  </r>
  <r>
    <n v="402"/>
    <x v="3"/>
    <x v="1"/>
    <x v="1"/>
    <x v="2"/>
    <x v="17"/>
    <n v="3.2"/>
    <x v="2"/>
    <x v="3"/>
    <x v="1"/>
    <x v="40"/>
    <x v="1"/>
    <n v="8"/>
    <s v="Sever"/>
    <x v="0"/>
    <n v="4"/>
    <x v="2"/>
  </r>
  <r>
    <n v="403"/>
    <x v="1"/>
    <x v="1"/>
    <x v="0"/>
    <x v="0"/>
    <x v="24"/>
    <n v="4.0999999999999996"/>
    <x v="0"/>
    <x v="1"/>
    <x v="0"/>
    <x v="11"/>
    <x v="1"/>
    <n v="7"/>
    <s v="Sever"/>
    <x v="2"/>
    <n v="6"/>
    <x v="5"/>
  </r>
  <r>
    <n v="404"/>
    <x v="5"/>
    <x v="1"/>
    <x v="1"/>
    <x v="2"/>
    <x v="109"/>
    <n v="6.6"/>
    <x v="1"/>
    <x v="9"/>
    <x v="0"/>
    <x v="12"/>
    <x v="0"/>
    <n v="5"/>
    <s v="Moderate"/>
    <x v="0"/>
    <n v="8"/>
    <x v="0"/>
  </r>
  <r>
    <n v="405"/>
    <x v="0"/>
    <x v="0"/>
    <x v="0"/>
    <x v="0"/>
    <x v="20"/>
    <n v="3.1"/>
    <x v="2"/>
    <x v="0"/>
    <x v="1"/>
    <x v="43"/>
    <x v="1"/>
    <n v="8"/>
    <s v="Sever"/>
    <x v="2"/>
    <n v="4"/>
    <x v="2"/>
  </r>
  <r>
    <n v="406"/>
    <x v="3"/>
    <x v="1"/>
    <x v="1"/>
    <x v="2"/>
    <x v="34"/>
    <n v="4.7"/>
    <x v="0"/>
    <x v="0"/>
    <x v="0"/>
    <x v="28"/>
    <x v="1"/>
    <n v="6"/>
    <s v="Moderate"/>
    <x v="2"/>
    <n v="7"/>
    <x v="0"/>
  </r>
  <r>
    <n v="407"/>
    <x v="1"/>
    <x v="1"/>
    <x v="0"/>
    <x v="0"/>
    <x v="1"/>
    <n v="7.6"/>
    <x v="1"/>
    <x v="1"/>
    <x v="0"/>
    <x v="39"/>
    <x v="0"/>
    <n v="5"/>
    <s v="Moderate"/>
    <x v="0"/>
    <n v="9"/>
    <x v="0"/>
  </r>
  <r>
    <n v="408"/>
    <x v="5"/>
    <x v="1"/>
    <x v="1"/>
    <x v="2"/>
    <x v="12"/>
    <n v="6.4"/>
    <x v="1"/>
    <x v="9"/>
    <x v="0"/>
    <x v="7"/>
    <x v="0"/>
    <n v="6"/>
    <s v="Moderate"/>
    <x v="2"/>
    <n v="7"/>
    <x v="0"/>
  </r>
  <r>
    <n v="409"/>
    <x v="0"/>
    <x v="0"/>
    <x v="0"/>
    <x v="0"/>
    <x v="9"/>
    <n v="3.7"/>
    <x v="2"/>
    <x v="0"/>
    <x v="1"/>
    <x v="34"/>
    <x v="1"/>
    <n v="7"/>
    <s v="Sever"/>
    <x v="0"/>
    <n v="5"/>
    <x v="2"/>
  </r>
  <r>
    <n v="410"/>
    <x v="3"/>
    <x v="1"/>
    <x v="1"/>
    <x v="2"/>
    <x v="3"/>
    <n v="4.5"/>
    <x v="0"/>
    <x v="0"/>
    <x v="0"/>
    <x v="30"/>
    <x v="1"/>
    <n v="6"/>
    <s v="Moderate"/>
    <x v="2"/>
    <n v="7"/>
    <x v="0"/>
  </r>
  <r>
    <n v="411"/>
    <x v="1"/>
    <x v="1"/>
    <x v="0"/>
    <x v="0"/>
    <x v="10"/>
    <n v="4.3"/>
    <x v="0"/>
    <x v="1"/>
    <x v="0"/>
    <x v="29"/>
    <x v="1"/>
    <n v="6"/>
    <s v="Moderate"/>
    <x v="2"/>
    <n v="7"/>
    <x v="0"/>
  </r>
  <r>
    <n v="412"/>
    <x v="5"/>
    <x v="1"/>
    <x v="1"/>
    <x v="2"/>
    <x v="17"/>
    <n v="3.1"/>
    <x v="2"/>
    <x v="3"/>
    <x v="1"/>
    <x v="43"/>
    <x v="1"/>
    <n v="8"/>
    <s v="Sever"/>
    <x v="0"/>
    <n v="4"/>
    <x v="2"/>
  </r>
  <r>
    <n v="413"/>
    <x v="0"/>
    <x v="0"/>
    <x v="0"/>
    <x v="0"/>
    <x v="24"/>
    <n v="4"/>
    <x v="0"/>
    <x v="0"/>
    <x v="0"/>
    <x v="31"/>
    <x v="1"/>
    <n v="7"/>
    <s v="Sever"/>
    <x v="2"/>
    <n v="6"/>
    <x v="5"/>
  </r>
  <r>
    <n v="414"/>
    <x v="3"/>
    <x v="1"/>
    <x v="1"/>
    <x v="2"/>
    <x v="109"/>
    <n v="6.7"/>
    <x v="1"/>
    <x v="9"/>
    <x v="0"/>
    <x v="24"/>
    <x v="0"/>
    <n v="5"/>
    <s v="Moderate"/>
    <x v="0"/>
    <n v="8"/>
    <x v="0"/>
  </r>
  <r>
    <n v="415"/>
    <x v="1"/>
    <x v="1"/>
    <x v="0"/>
    <x v="0"/>
    <x v="20"/>
    <n v="3"/>
    <x v="2"/>
    <x v="0"/>
    <x v="1"/>
    <x v="45"/>
    <x v="1"/>
    <n v="8"/>
    <s v="Sever"/>
    <x v="2"/>
    <n v="4"/>
    <x v="2"/>
  </r>
  <r>
    <n v="416"/>
    <x v="5"/>
    <x v="1"/>
    <x v="1"/>
    <x v="2"/>
    <x v="34"/>
    <n v="4.5999999999999996"/>
    <x v="0"/>
    <x v="1"/>
    <x v="0"/>
    <x v="29"/>
    <x v="1"/>
    <n v="6"/>
    <s v="Moderate"/>
    <x v="2"/>
    <n v="7"/>
    <x v="0"/>
  </r>
  <r>
    <n v="417"/>
    <x v="0"/>
    <x v="0"/>
    <x v="0"/>
    <x v="0"/>
    <x v="1"/>
    <n v="7.7"/>
    <x v="1"/>
    <x v="0"/>
    <x v="0"/>
    <x v="41"/>
    <x v="0"/>
    <n v="5"/>
    <s v="Moderate"/>
    <x v="0"/>
    <n v="9"/>
    <x v="0"/>
  </r>
  <r>
    <n v="418"/>
    <x v="3"/>
    <x v="1"/>
    <x v="1"/>
    <x v="2"/>
    <x v="12"/>
    <n v="6.5"/>
    <x v="1"/>
    <x v="9"/>
    <x v="0"/>
    <x v="12"/>
    <x v="0"/>
    <n v="6"/>
    <s v="Moderate"/>
    <x v="2"/>
    <n v="7"/>
    <x v="0"/>
  </r>
  <r>
    <n v="419"/>
    <x v="1"/>
    <x v="1"/>
    <x v="0"/>
    <x v="0"/>
    <x v="9"/>
    <n v="3.6"/>
    <x v="2"/>
    <x v="0"/>
    <x v="1"/>
    <x v="36"/>
    <x v="1"/>
    <n v="7"/>
    <s v="Sever"/>
    <x v="0"/>
    <n v="5"/>
    <x v="2"/>
  </r>
  <r>
    <n v="420"/>
    <x v="5"/>
    <x v="1"/>
    <x v="1"/>
    <x v="2"/>
    <x v="3"/>
    <n v="4.4000000000000004"/>
    <x v="0"/>
    <x v="1"/>
    <x v="0"/>
    <x v="11"/>
    <x v="1"/>
    <n v="6"/>
    <s v="Moderate"/>
    <x v="2"/>
    <n v="7"/>
    <x v="0"/>
  </r>
  <r>
    <n v="421"/>
    <x v="0"/>
    <x v="0"/>
    <x v="0"/>
    <x v="0"/>
    <x v="10"/>
    <n v="4.2"/>
    <x v="0"/>
    <x v="0"/>
    <x v="0"/>
    <x v="30"/>
    <x v="1"/>
    <n v="6"/>
    <s v="Moderate"/>
    <x v="2"/>
    <n v="7"/>
    <x v="0"/>
  </r>
  <r>
    <n v="422"/>
    <x v="3"/>
    <x v="1"/>
    <x v="1"/>
    <x v="2"/>
    <x v="17"/>
    <n v="3"/>
    <x v="2"/>
    <x v="3"/>
    <x v="1"/>
    <x v="45"/>
    <x v="1"/>
    <n v="8"/>
    <s v="Sever"/>
    <x v="0"/>
    <n v="4"/>
    <x v="2"/>
  </r>
  <r>
    <n v="423"/>
    <x v="1"/>
    <x v="1"/>
    <x v="0"/>
    <x v="0"/>
    <x v="24"/>
    <n v="3.9"/>
    <x v="2"/>
    <x v="1"/>
    <x v="0"/>
    <x v="5"/>
    <x v="1"/>
    <n v="7"/>
    <s v="Sever"/>
    <x v="2"/>
    <n v="6"/>
    <x v="5"/>
  </r>
  <r>
    <n v="424"/>
    <x v="5"/>
    <x v="1"/>
    <x v="1"/>
    <x v="2"/>
    <x v="109"/>
    <n v="6.8"/>
    <x v="1"/>
    <x v="9"/>
    <x v="0"/>
    <x v="9"/>
    <x v="0"/>
    <n v="5"/>
    <s v="Moderate"/>
    <x v="0"/>
    <n v="8"/>
    <x v="0"/>
  </r>
  <r>
    <n v="425"/>
    <x v="0"/>
    <x v="0"/>
    <x v="0"/>
    <x v="0"/>
    <x v="20"/>
    <n v="2.9"/>
    <x v="2"/>
    <x v="0"/>
    <x v="1"/>
    <x v="47"/>
    <x v="1"/>
    <n v="8"/>
    <s v="Sever"/>
    <x v="2"/>
    <n v="4"/>
    <x v="2"/>
  </r>
  <r>
    <n v="426"/>
    <x v="3"/>
    <x v="1"/>
    <x v="1"/>
    <x v="2"/>
    <x v="34"/>
    <n v="4.5"/>
    <x v="0"/>
    <x v="0"/>
    <x v="0"/>
    <x v="30"/>
    <x v="1"/>
    <n v="6"/>
    <s v="Moderate"/>
    <x v="2"/>
    <n v="7"/>
    <x v="0"/>
  </r>
  <r>
    <n v="427"/>
    <x v="1"/>
    <x v="1"/>
    <x v="0"/>
    <x v="0"/>
    <x v="1"/>
    <n v="7.8"/>
    <x v="1"/>
    <x v="1"/>
    <x v="0"/>
    <x v="4"/>
    <x v="0"/>
    <n v="5"/>
    <s v="Moderate"/>
    <x v="0"/>
    <n v="9"/>
    <x v="0"/>
  </r>
  <r>
    <n v="428"/>
    <x v="5"/>
    <x v="1"/>
    <x v="1"/>
    <x v="2"/>
    <x v="12"/>
    <n v="6.6"/>
    <x v="1"/>
    <x v="9"/>
    <x v="0"/>
    <x v="24"/>
    <x v="0"/>
    <n v="6"/>
    <s v="Moderate"/>
    <x v="2"/>
    <n v="7"/>
    <x v="0"/>
  </r>
  <r>
    <n v="429"/>
    <x v="0"/>
    <x v="0"/>
    <x v="0"/>
    <x v="0"/>
    <x v="9"/>
    <n v="3.5"/>
    <x v="2"/>
    <x v="0"/>
    <x v="1"/>
    <x v="38"/>
    <x v="1"/>
    <n v="7"/>
    <s v="Sever"/>
    <x v="0"/>
    <n v="5"/>
    <x v="2"/>
  </r>
  <r>
    <n v="430"/>
    <x v="3"/>
    <x v="1"/>
    <x v="1"/>
    <x v="2"/>
    <x v="3"/>
    <n v="4.3"/>
    <x v="0"/>
    <x v="0"/>
    <x v="0"/>
    <x v="31"/>
    <x v="1"/>
    <n v="6"/>
    <s v="Moderate"/>
    <x v="2"/>
    <n v="7"/>
    <x v="0"/>
  </r>
  <r>
    <n v="431"/>
    <x v="1"/>
    <x v="1"/>
    <x v="0"/>
    <x v="0"/>
    <x v="10"/>
    <n v="4.0999999999999996"/>
    <x v="0"/>
    <x v="1"/>
    <x v="0"/>
    <x v="11"/>
    <x v="1"/>
    <n v="6"/>
    <s v="Moderate"/>
    <x v="2"/>
    <n v="7"/>
    <x v="0"/>
  </r>
  <r>
    <n v="432"/>
    <x v="5"/>
    <x v="1"/>
    <x v="1"/>
    <x v="2"/>
    <x v="17"/>
    <n v="2.9"/>
    <x v="2"/>
    <x v="3"/>
    <x v="1"/>
    <x v="47"/>
    <x v="1"/>
    <n v="8"/>
    <s v="Sever"/>
    <x v="0"/>
    <n v="4"/>
    <x v="2"/>
  </r>
  <r>
    <n v="433"/>
    <x v="0"/>
    <x v="0"/>
    <x v="0"/>
    <x v="0"/>
    <x v="24"/>
    <n v="3.8"/>
    <x v="2"/>
    <x v="0"/>
    <x v="0"/>
    <x v="32"/>
    <x v="1"/>
    <n v="7"/>
    <s v="Sever"/>
    <x v="2"/>
    <n v="6"/>
    <x v="5"/>
  </r>
  <r>
    <n v="434"/>
    <x v="3"/>
    <x v="1"/>
    <x v="1"/>
    <x v="2"/>
    <x v="109"/>
    <n v="6.9"/>
    <x v="1"/>
    <x v="9"/>
    <x v="0"/>
    <x v="16"/>
    <x v="0"/>
    <n v="5"/>
    <s v="Moderate"/>
    <x v="0"/>
    <n v="8"/>
    <x v="0"/>
  </r>
  <r>
    <n v="435"/>
    <x v="1"/>
    <x v="1"/>
    <x v="0"/>
    <x v="0"/>
    <x v="20"/>
    <n v="2.8"/>
    <x v="2"/>
    <x v="0"/>
    <x v="1"/>
    <x v="49"/>
    <x v="2"/>
    <n v="8"/>
    <s v="Sever"/>
    <x v="2"/>
    <n v="4"/>
    <x v="2"/>
  </r>
  <r>
    <n v="436"/>
    <x v="5"/>
    <x v="1"/>
    <x v="1"/>
    <x v="2"/>
    <x v="34"/>
    <n v="4.4000000000000004"/>
    <x v="0"/>
    <x v="1"/>
    <x v="0"/>
    <x v="11"/>
    <x v="1"/>
    <n v="6"/>
    <s v="Moderate"/>
    <x v="2"/>
    <n v="7"/>
    <x v="0"/>
  </r>
  <r>
    <n v="437"/>
    <x v="0"/>
    <x v="0"/>
    <x v="0"/>
    <x v="0"/>
    <x v="1"/>
    <n v="7.9"/>
    <x v="1"/>
    <x v="0"/>
    <x v="0"/>
    <x v="42"/>
    <x v="0"/>
    <n v="5"/>
    <s v="Moderate"/>
    <x v="0"/>
    <n v="9"/>
    <x v="0"/>
  </r>
  <r>
    <n v="438"/>
    <x v="3"/>
    <x v="1"/>
    <x v="1"/>
    <x v="2"/>
    <x v="12"/>
    <n v="6.7"/>
    <x v="1"/>
    <x v="9"/>
    <x v="0"/>
    <x v="9"/>
    <x v="0"/>
    <n v="6"/>
    <s v="Moderate"/>
    <x v="2"/>
    <n v="7"/>
    <x v="0"/>
  </r>
  <r>
    <n v="439"/>
    <x v="1"/>
    <x v="1"/>
    <x v="0"/>
    <x v="0"/>
    <x v="9"/>
    <n v="3.4"/>
    <x v="2"/>
    <x v="0"/>
    <x v="1"/>
    <x v="40"/>
    <x v="1"/>
    <n v="7"/>
    <s v="Sever"/>
    <x v="0"/>
    <n v="5"/>
    <x v="2"/>
  </r>
  <r>
    <n v="440"/>
    <x v="5"/>
    <x v="1"/>
    <x v="1"/>
    <x v="2"/>
    <x v="3"/>
    <n v="4.2"/>
    <x v="0"/>
    <x v="1"/>
    <x v="0"/>
    <x v="5"/>
    <x v="1"/>
    <n v="6"/>
    <s v="Moderate"/>
    <x v="2"/>
    <n v="7"/>
    <x v="0"/>
  </r>
  <r>
    <n v="441"/>
    <x v="0"/>
    <x v="0"/>
    <x v="0"/>
    <x v="0"/>
    <x v="10"/>
    <n v="4"/>
    <x v="0"/>
    <x v="0"/>
    <x v="0"/>
    <x v="31"/>
    <x v="1"/>
    <n v="6"/>
    <s v="Moderate"/>
    <x v="2"/>
    <n v="7"/>
    <x v="0"/>
  </r>
  <r>
    <n v="442"/>
    <x v="3"/>
    <x v="1"/>
    <x v="1"/>
    <x v="2"/>
    <x v="17"/>
    <n v="2.8"/>
    <x v="2"/>
    <x v="3"/>
    <x v="1"/>
    <x v="49"/>
    <x v="2"/>
    <n v="8"/>
    <s v="Sever"/>
    <x v="0"/>
    <n v="4"/>
    <x v="2"/>
  </r>
  <r>
    <n v="443"/>
    <x v="1"/>
    <x v="1"/>
    <x v="0"/>
    <x v="0"/>
    <x v="24"/>
    <n v="3.7"/>
    <x v="2"/>
    <x v="1"/>
    <x v="0"/>
    <x v="33"/>
    <x v="1"/>
    <n v="7"/>
    <s v="Sever"/>
    <x v="2"/>
    <n v="6"/>
    <x v="5"/>
  </r>
  <r>
    <n v="444"/>
    <x v="5"/>
    <x v="1"/>
    <x v="1"/>
    <x v="2"/>
    <x v="109"/>
    <n v="7"/>
    <x v="1"/>
    <x v="9"/>
    <x v="0"/>
    <x v="21"/>
    <x v="0"/>
    <n v="5"/>
    <s v="Moderate"/>
    <x v="0"/>
    <n v="8"/>
    <x v="0"/>
  </r>
  <r>
    <n v="445"/>
    <x v="0"/>
    <x v="0"/>
    <x v="0"/>
    <x v="0"/>
    <x v="20"/>
    <n v="2.7"/>
    <x v="2"/>
    <x v="0"/>
    <x v="1"/>
    <x v="50"/>
    <x v="2"/>
    <n v="8"/>
    <s v="Sever"/>
    <x v="2"/>
    <n v="4"/>
    <x v="2"/>
  </r>
  <r>
    <n v="446"/>
    <x v="3"/>
    <x v="1"/>
    <x v="1"/>
    <x v="2"/>
    <x v="34"/>
    <n v="4.3"/>
    <x v="0"/>
    <x v="0"/>
    <x v="0"/>
    <x v="31"/>
    <x v="1"/>
    <n v="6"/>
    <s v="Moderate"/>
    <x v="2"/>
    <n v="7"/>
    <x v="0"/>
  </r>
  <r>
    <n v="447"/>
    <x v="1"/>
    <x v="1"/>
    <x v="0"/>
    <x v="0"/>
    <x v="1"/>
    <n v="8"/>
    <x v="1"/>
    <x v="1"/>
    <x v="0"/>
    <x v="44"/>
    <x v="0"/>
    <n v="5"/>
    <s v="Moderate"/>
    <x v="0"/>
    <n v="9"/>
    <x v="0"/>
  </r>
  <r>
    <n v="448"/>
    <x v="5"/>
    <x v="1"/>
    <x v="1"/>
    <x v="2"/>
    <x v="12"/>
    <n v="6.8"/>
    <x v="1"/>
    <x v="9"/>
    <x v="0"/>
    <x v="16"/>
    <x v="0"/>
    <n v="6"/>
    <s v="Moderate"/>
    <x v="2"/>
    <n v="7"/>
    <x v="0"/>
  </r>
  <r>
    <n v="449"/>
    <x v="0"/>
    <x v="0"/>
    <x v="0"/>
    <x v="0"/>
    <x v="9"/>
    <n v="3.3"/>
    <x v="2"/>
    <x v="0"/>
    <x v="1"/>
    <x v="43"/>
    <x v="1"/>
    <n v="7"/>
    <s v="Sever"/>
    <x v="0"/>
    <n v="5"/>
    <x v="2"/>
  </r>
  <r>
    <n v="450"/>
    <x v="3"/>
    <x v="1"/>
    <x v="1"/>
    <x v="2"/>
    <x v="3"/>
    <n v="4.0999999999999996"/>
    <x v="0"/>
    <x v="0"/>
    <x v="0"/>
    <x v="32"/>
    <x v="1"/>
    <n v="6"/>
    <s v="Moderate"/>
    <x v="2"/>
    <n v="7"/>
    <x v="0"/>
  </r>
  <r>
    <n v="451"/>
    <x v="1"/>
    <x v="1"/>
    <x v="0"/>
    <x v="0"/>
    <x v="10"/>
    <n v="3.9"/>
    <x v="2"/>
    <x v="1"/>
    <x v="0"/>
    <x v="5"/>
    <x v="1"/>
    <n v="6"/>
    <s v="Moderate"/>
    <x v="2"/>
    <n v="7"/>
    <x v="0"/>
  </r>
  <r>
    <n v="452"/>
    <x v="5"/>
    <x v="1"/>
    <x v="1"/>
    <x v="2"/>
    <x v="17"/>
    <n v="2.7"/>
    <x v="2"/>
    <x v="3"/>
    <x v="1"/>
    <x v="50"/>
    <x v="2"/>
    <n v="8"/>
    <s v="Sever"/>
    <x v="0"/>
    <n v="4"/>
    <x v="2"/>
  </r>
  <r>
    <n v="453"/>
    <x v="0"/>
    <x v="0"/>
    <x v="0"/>
    <x v="0"/>
    <x v="24"/>
    <n v="3.6"/>
    <x v="2"/>
    <x v="0"/>
    <x v="0"/>
    <x v="34"/>
    <x v="1"/>
    <n v="7"/>
    <s v="Sever"/>
    <x v="2"/>
    <n v="6"/>
    <x v="5"/>
  </r>
  <r>
    <n v="454"/>
    <x v="3"/>
    <x v="1"/>
    <x v="1"/>
    <x v="2"/>
    <x v="109"/>
    <n v="7.1"/>
    <x v="1"/>
    <x v="9"/>
    <x v="0"/>
    <x v="18"/>
    <x v="0"/>
    <n v="5"/>
    <s v="Moderate"/>
    <x v="0"/>
    <n v="8"/>
    <x v="0"/>
  </r>
  <r>
    <n v="455"/>
    <x v="1"/>
    <x v="1"/>
    <x v="0"/>
    <x v="0"/>
    <x v="20"/>
    <n v="2.6"/>
    <x v="2"/>
    <x v="0"/>
    <x v="1"/>
    <x v="51"/>
    <x v="2"/>
    <n v="8"/>
    <s v="Sever"/>
    <x v="2"/>
    <n v="4"/>
    <x v="2"/>
  </r>
  <r>
    <n v="456"/>
    <x v="5"/>
    <x v="1"/>
    <x v="1"/>
    <x v="2"/>
    <x v="34"/>
    <n v="4.2"/>
    <x v="0"/>
    <x v="1"/>
    <x v="0"/>
    <x v="5"/>
    <x v="1"/>
    <n v="6"/>
    <s v="Moderate"/>
    <x v="2"/>
    <n v="7"/>
    <x v="0"/>
  </r>
  <r>
    <n v="457"/>
    <x v="0"/>
    <x v="0"/>
    <x v="0"/>
    <x v="0"/>
    <x v="1"/>
    <n v="8.1"/>
    <x v="1"/>
    <x v="0"/>
    <x v="0"/>
    <x v="46"/>
    <x v="0"/>
    <n v="5"/>
    <s v="Moderate"/>
    <x v="0"/>
    <n v="9"/>
    <x v="0"/>
  </r>
  <r>
    <n v="458"/>
    <x v="3"/>
    <x v="1"/>
    <x v="1"/>
    <x v="2"/>
    <x v="12"/>
    <n v="6.9"/>
    <x v="1"/>
    <x v="9"/>
    <x v="0"/>
    <x v="21"/>
    <x v="0"/>
    <n v="6"/>
    <s v="Moderate"/>
    <x v="2"/>
    <n v="7"/>
    <x v="0"/>
  </r>
  <r>
    <n v="459"/>
    <x v="1"/>
    <x v="1"/>
    <x v="0"/>
    <x v="0"/>
    <x v="9"/>
    <n v="3.2"/>
    <x v="2"/>
    <x v="0"/>
    <x v="1"/>
    <x v="45"/>
    <x v="1"/>
    <n v="7"/>
    <s v="Sever"/>
    <x v="0"/>
    <n v="5"/>
    <x v="2"/>
  </r>
  <r>
    <n v="460"/>
    <x v="5"/>
    <x v="1"/>
    <x v="1"/>
    <x v="2"/>
    <x v="3"/>
    <n v="4"/>
    <x v="0"/>
    <x v="1"/>
    <x v="0"/>
    <x v="33"/>
    <x v="1"/>
    <n v="6"/>
    <s v="Moderate"/>
    <x v="2"/>
    <n v="7"/>
    <x v="0"/>
  </r>
  <r>
    <n v="461"/>
    <x v="0"/>
    <x v="0"/>
    <x v="0"/>
    <x v="0"/>
    <x v="10"/>
    <n v="3.8"/>
    <x v="2"/>
    <x v="0"/>
    <x v="0"/>
    <x v="32"/>
    <x v="1"/>
    <n v="6"/>
    <s v="Moderate"/>
    <x v="2"/>
    <n v="7"/>
    <x v="0"/>
  </r>
  <r>
    <n v="462"/>
    <x v="3"/>
    <x v="1"/>
    <x v="1"/>
    <x v="2"/>
    <x v="17"/>
    <n v="2.6"/>
    <x v="2"/>
    <x v="3"/>
    <x v="1"/>
    <x v="51"/>
    <x v="2"/>
    <n v="8"/>
    <s v="Sever"/>
    <x v="0"/>
    <n v="4"/>
    <x v="2"/>
  </r>
  <r>
    <n v="463"/>
    <x v="1"/>
    <x v="1"/>
    <x v="0"/>
    <x v="0"/>
    <x v="24"/>
    <n v="3.5"/>
    <x v="2"/>
    <x v="1"/>
    <x v="0"/>
    <x v="36"/>
    <x v="1"/>
    <n v="7"/>
    <s v="Sever"/>
    <x v="2"/>
    <n v="6"/>
    <x v="5"/>
  </r>
  <r>
    <n v="464"/>
    <x v="5"/>
    <x v="1"/>
    <x v="1"/>
    <x v="2"/>
    <x v="109"/>
    <n v="7.2"/>
    <x v="1"/>
    <x v="9"/>
    <x v="0"/>
    <x v="22"/>
    <x v="0"/>
    <n v="5"/>
    <s v="Moderate"/>
    <x v="0"/>
    <n v="8"/>
    <x v="0"/>
  </r>
  <r>
    <n v="465"/>
    <x v="0"/>
    <x v="0"/>
    <x v="0"/>
    <x v="0"/>
    <x v="20"/>
    <n v="2.5"/>
    <x v="2"/>
    <x v="0"/>
    <x v="1"/>
    <x v="52"/>
    <x v="2"/>
    <n v="8"/>
    <s v="Sever"/>
    <x v="2"/>
    <n v="4"/>
    <x v="2"/>
  </r>
  <r>
    <n v="466"/>
    <x v="3"/>
    <x v="1"/>
    <x v="1"/>
    <x v="2"/>
    <x v="34"/>
    <n v="4.0999999999999996"/>
    <x v="0"/>
    <x v="0"/>
    <x v="0"/>
    <x v="32"/>
    <x v="1"/>
    <n v="6"/>
    <s v="Moderate"/>
    <x v="2"/>
    <n v="7"/>
    <x v="0"/>
  </r>
  <r>
    <n v="467"/>
    <x v="1"/>
    <x v="1"/>
    <x v="0"/>
    <x v="0"/>
    <x v="1"/>
    <n v="8.1999999999999993"/>
    <x v="1"/>
    <x v="1"/>
    <x v="0"/>
    <x v="48"/>
    <x v="0"/>
    <n v="5"/>
    <s v="Moderate"/>
    <x v="0"/>
    <n v="9"/>
    <x v="0"/>
  </r>
  <r>
    <n v="468"/>
    <x v="5"/>
    <x v="1"/>
    <x v="1"/>
    <x v="2"/>
    <x v="12"/>
    <n v="7"/>
    <x v="1"/>
    <x v="9"/>
    <x v="0"/>
    <x v="18"/>
    <x v="0"/>
    <n v="6"/>
    <s v="Moderate"/>
    <x v="2"/>
    <n v="7"/>
    <x v="0"/>
  </r>
  <r>
    <n v="469"/>
    <x v="0"/>
    <x v="0"/>
    <x v="0"/>
    <x v="0"/>
    <x v="9"/>
    <n v="3.1"/>
    <x v="2"/>
    <x v="0"/>
    <x v="1"/>
    <x v="47"/>
    <x v="1"/>
    <n v="7"/>
    <s v="Sever"/>
    <x v="0"/>
    <n v="5"/>
    <x v="2"/>
  </r>
  <r>
    <n v="470"/>
    <x v="3"/>
    <x v="1"/>
    <x v="1"/>
    <x v="2"/>
    <x v="3"/>
    <n v="3.9"/>
    <x v="2"/>
    <x v="0"/>
    <x v="0"/>
    <x v="34"/>
    <x v="1"/>
    <n v="6"/>
    <s v="Moderate"/>
    <x v="2"/>
    <n v="7"/>
    <x v="0"/>
  </r>
  <r>
    <n v="471"/>
    <x v="1"/>
    <x v="1"/>
    <x v="0"/>
    <x v="0"/>
    <x v="10"/>
    <n v="3.7"/>
    <x v="2"/>
    <x v="1"/>
    <x v="0"/>
    <x v="33"/>
    <x v="1"/>
    <n v="6"/>
    <s v="Moderate"/>
    <x v="2"/>
    <n v="7"/>
    <x v="0"/>
  </r>
  <r>
    <n v="472"/>
    <x v="5"/>
    <x v="1"/>
    <x v="1"/>
    <x v="2"/>
    <x v="17"/>
    <n v="2.5"/>
    <x v="2"/>
    <x v="3"/>
    <x v="1"/>
    <x v="52"/>
    <x v="2"/>
    <n v="8"/>
    <s v="Sever"/>
    <x v="0"/>
    <n v="4"/>
    <x v="2"/>
  </r>
  <r>
    <n v="473"/>
    <x v="0"/>
    <x v="0"/>
    <x v="0"/>
    <x v="0"/>
    <x v="24"/>
    <n v="3.4"/>
    <x v="2"/>
    <x v="0"/>
    <x v="0"/>
    <x v="38"/>
    <x v="1"/>
    <n v="7"/>
    <s v="Sever"/>
    <x v="2"/>
    <n v="6"/>
    <x v="5"/>
  </r>
  <r>
    <n v="474"/>
    <x v="3"/>
    <x v="1"/>
    <x v="1"/>
    <x v="2"/>
    <x v="109"/>
    <n v="7.3"/>
    <x v="1"/>
    <x v="9"/>
    <x v="0"/>
    <x v="1"/>
    <x v="0"/>
    <n v="5"/>
    <s v="Moderate"/>
    <x v="0"/>
    <n v="8"/>
    <x v="0"/>
  </r>
  <r>
    <n v="475"/>
    <x v="1"/>
    <x v="1"/>
    <x v="0"/>
    <x v="0"/>
    <x v="20"/>
    <n v="2.4"/>
    <x v="2"/>
    <x v="0"/>
    <x v="1"/>
    <x v="53"/>
    <x v="2"/>
    <n v="8"/>
    <s v="Sever"/>
    <x v="2"/>
    <n v="4"/>
    <x v="2"/>
  </r>
  <r>
    <n v="476"/>
    <x v="5"/>
    <x v="1"/>
    <x v="1"/>
    <x v="2"/>
    <x v="34"/>
    <n v="4"/>
    <x v="0"/>
    <x v="1"/>
    <x v="0"/>
    <x v="33"/>
    <x v="1"/>
    <n v="6"/>
    <s v="Moderate"/>
    <x v="2"/>
    <n v="7"/>
    <x v="0"/>
  </r>
  <r>
    <n v="477"/>
    <x v="0"/>
    <x v="0"/>
    <x v="0"/>
    <x v="0"/>
    <x v="1"/>
    <n v="8.3000000000000007"/>
    <x v="1"/>
    <x v="0"/>
    <x v="0"/>
    <x v="54"/>
    <x v="0"/>
    <n v="5"/>
    <s v="Moderate"/>
    <x v="0"/>
    <n v="9"/>
    <x v="0"/>
  </r>
  <r>
    <n v="478"/>
    <x v="3"/>
    <x v="1"/>
    <x v="1"/>
    <x v="2"/>
    <x v="12"/>
    <n v="7.1"/>
    <x v="1"/>
    <x v="9"/>
    <x v="0"/>
    <x v="22"/>
    <x v="0"/>
    <n v="6"/>
    <s v="Moderate"/>
    <x v="2"/>
    <n v="7"/>
    <x v="0"/>
  </r>
  <r>
    <n v="479"/>
    <x v="1"/>
    <x v="1"/>
    <x v="0"/>
    <x v="0"/>
    <x v="9"/>
    <n v="3"/>
    <x v="2"/>
    <x v="0"/>
    <x v="1"/>
    <x v="49"/>
    <x v="2"/>
    <n v="7"/>
    <s v="Sever"/>
    <x v="0"/>
    <n v="5"/>
    <x v="2"/>
  </r>
  <r>
    <n v="480"/>
    <x v="5"/>
    <x v="1"/>
    <x v="1"/>
    <x v="2"/>
    <x v="3"/>
    <n v="3.8"/>
    <x v="2"/>
    <x v="1"/>
    <x v="0"/>
    <x v="36"/>
    <x v="1"/>
    <n v="6"/>
    <s v="Moderate"/>
    <x v="2"/>
    <n v="7"/>
    <x v="0"/>
  </r>
  <r>
    <n v="481"/>
    <x v="0"/>
    <x v="0"/>
    <x v="0"/>
    <x v="0"/>
    <x v="10"/>
    <n v="3.6"/>
    <x v="2"/>
    <x v="0"/>
    <x v="0"/>
    <x v="34"/>
    <x v="1"/>
    <n v="6"/>
    <s v="Moderate"/>
    <x v="2"/>
    <n v="7"/>
    <x v="0"/>
  </r>
  <r>
    <n v="482"/>
    <x v="3"/>
    <x v="1"/>
    <x v="1"/>
    <x v="2"/>
    <x v="17"/>
    <n v="2.4"/>
    <x v="2"/>
    <x v="3"/>
    <x v="1"/>
    <x v="53"/>
    <x v="2"/>
    <n v="8"/>
    <s v="Sever"/>
    <x v="0"/>
    <n v="4"/>
    <x v="2"/>
  </r>
  <r>
    <n v="483"/>
    <x v="1"/>
    <x v="1"/>
    <x v="0"/>
    <x v="0"/>
    <x v="24"/>
    <n v="3.3"/>
    <x v="2"/>
    <x v="1"/>
    <x v="0"/>
    <x v="40"/>
    <x v="1"/>
    <n v="7"/>
    <s v="Sever"/>
    <x v="2"/>
    <n v="6"/>
    <x v="5"/>
  </r>
  <r>
    <n v="484"/>
    <x v="5"/>
    <x v="1"/>
    <x v="1"/>
    <x v="2"/>
    <x v="109"/>
    <n v="7.4"/>
    <x v="1"/>
    <x v="9"/>
    <x v="0"/>
    <x v="35"/>
    <x v="0"/>
    <n v="5"/>
    <s v="Moderate"/>
    <x v="0"/>
    <n v="8"/>
    <x v="0"/>
  </r>
  <r>
    <n v="485"/>
    <x v="0"/>
    <x v="0"/>
    <x v="0"/>
    <x v="0"/>
    <x v="20"/>
    <n v="2.2999999999999998"/>
    <x v="2"/>
    <x v="0"/>
    <x v="1"/>
    <x v="55"/>
    <x v="2"/>
    <n v="8"/>
    <s v="Sever"/>
    <x v="2"/>
    <n v="4"/>
    <x v="2"/>
  </r>
  <r>
    <n v="486"/>
    <x v="3"/>
    <x v="1"/>
    <x v="1"/>
    <x v="2"/>
    <x v="34"/>
    <n v="3.9"/>
    <x v="2"/>
    <x v="0"/>
    <x v="0"/>
    <x v="34"/>
    <x v="1"/>
    <n v="6"/>
    <s v="Moderate"/>
    <x v="2"/>
    <n v="7"/>
    <x v="0"/>
  </r>
  <r>
    <n v="487"/>
    <x v="1"/>
    <x v="1"/>
    <x v="0"/>
    <x v="0"/>
    <x v="1"/>
    <n v="8.4"/>
    <x v="1"/>
    <x v="1"/>
    <x v="0"/>
    <x v="56"/>
    <x v="0"/>
    <n v="5"/>
    <s v="Moderate"/>
    <x v="0"/>
    <n v="9"/>
    <x v="0"/>
  </r>
  <r>
    <n v="488"/>
    <x v="5"/>
    <x v="1"/>
    <x v="1"/>
    <x v="2"/>
    <x v="12"/>
    <n v="7.2"/>
    <x v="1"/>
    <x v="9"/>
    <x v="0"/>
    <x v="1"/>
    <x v="0"/>
    <n v="6"/>
    <s v="Moderate"/>
    <x v="2"/>
    <n v="7"/>
    <x v="0"/>
  </r>
  <r>
    <n v="489"/>
    <x v="0"/>
    <x v="0"/>
    <x v="0"/>
    <x v="0"/>
    <x v="9"/>
    <n v="2.9"/>
    <x v="2"/>
    <x v="0"/>
    <x v="1"/>
    <x v="50"/>
    <x v="2"/>
    <n v="7"/>
    <s v="Sever"/>
    <x v="0"/>
    <n v="5"/>
    <x v="2"/>
  </r>
  <r>
    <n v="490"/>
    <x v="3"/>
    <x v="1"/>
    <x v="1"/>
    <x v="2"/>
    <x v="3"/>
    <n v="3.7"/>
    <x v="2"/>
    <x v="0"/>
    <x v="0"/>
    <x v="38"/>
    <x v="1"/>
    <n v="6"/>
    <s v="Moderate"/>
    <x v="2"/>
    <n v="7"/>
    <x v="0"/>
  </r>
  <r>
    <n v="491"/>
    <x v="1"/>
    <x v="1"/>
    <x v="0"/>
    <x v="0"/>
    <x v="10"/>
    <n v="3.5"/>
    <x v="2"/>
    <x v="1"/>
    <x v="0"/>
    <x v="36"/>
    <x v="1"/>
    <n v="6"/>
    <s v="Moderate"/>
    <x v="2"/>
    <n v="7"/>
    <x v="0"/>
  </r>
  <r>
    <n v="492"/>
    <x v="5"/>
    <x v="1"/>
    <x v="1"/>
    <x v="2"/>
    <x v="17"/>
    <n v="2.2999999999999998"/>
    <x v="2"/>
    <x v="3"/>
    <x v="1"/>
    <x v="55"/>
    <x v="2"/>
    <n v="8"/>
    <s v="Sever"/>
    <x v="0"/>
    <n v="4"/>
    <x v="2"/>
  </r>
  <r>
    <n v="493"/>
    <x v="0"/>
    <x v="0"/>
    <x v="0"/>
    <x v="0"/>
    <x v="24"/>
    <n v="3.2"/>
    <x v="2"/>
    <x v="0"/>
    <x v="0"/>
    <x v="43"/>
    <x v="1"/>
    <n v="7"/>
    <s v="Sever"/>
    <x v="2"/>
    <n v="6"/>
    <x v="5"/>
  </r>
  <r>
    <n v="494"/>
    <x v="3"/>
    <x v="1"/>
    <x v="1"/>
    <x v="2"/>
    <x v="109"/>
    <n v="7.5"/>
    <x v="1"/>
    <x v="9"/>
    <x v="0"/>
    <x v="37"/>
    <x v="0"/>
    <n v="5"/>
    <s v="Moderate"/>
    <x v="0"/>
    <n v="8"/>
    <x v="0"/>
  </r>
  <r>
    <n v="495"/>
    <x v="1"/>
    <x v="1"/>
    <x v="0"/>
    <x v="0"/>
    <x v="20"/>
    <n v="2.2000000000000002"/>
    <x v="2"/>
    <x v="0"/>
    <x v="1"/>
    <x v="57"/>
    <x v="2"/>
    <n v="8"/>
    <s v="Sever"/>
    <x v="2"/>
    <n v="4"/>
    <x v="2"/>
  </r>
  <r>
    <n v="496"/>
    <x v="5"/>
    <x v="1"/>
    <x v="1"/>
    <x v="2"/>
    <x v="34"/>
    <n v="3.8"/>
    <x v="2"/>
    <x v="1"/>
    <x v="0"/>
    <x v="36"/>
    <x v="1"/>
    <n v="6"/>
    <s v="Moderate"/>
    <x v="2"/>
    <n v="7"/>
    <x v="0"/>
  </r>
  <r>
    <n v="497"/>
    <x v="0"/>
    <x v="0"/>
    <x v="0"/>
    <x v="0"/>
    <x v="1"/>
    <n v="8.5"/>
    <x v="1"/>
    <x v="0"/>
    <x v="0"/>
    <x v="58"/>
    <x v="0"/>
    <n v="5"/>
    <s v="Moderate"/>
    <x v="0"/>
    <n v="9"/>
    <x v="0"/>
  </r>
  <r>
    <n v="498"/>
    <x v="3"/>
    <x v="1"/>
    <x v="1"/>
    <x v="2"/>
    <x v="12"/>
    <n v="7.3"/>
    <x v="1"/>
    <x v="9"/>
    <x v="0"/>
    <x v="35"/>
    <x v="0"/>
    <n v="6"/>
    <s v="Moderate"/>
    <x v="2"/>
    <n v="7"/>
    <x v="0"/>
  </r>
  <r>
    <n v="499"/>
    <x v="1"/>
    <x v="1"/>
    <x v="0"/>
    <x v="0"/>
    <x v="9"/>
    <n v="2.8"/>
    <x v="2"/>
    <x v="0"/>
    <x v="1"/>
    <x v="51"/>
    <x v="2"/>
    <n v="7"/>
    <s v="Sever"/>
    <x v="0"/>
    <n v="5"/>
    <x v="2"/>
  </r>
  <r>
    <n v="500"/>
    <x v="5"/>
    <x v="1"/>
    <x v="1"/>
    <x v="2"/>
    <x v="3"/>
    <n v="3.6"/>
    <x v="2"/>
    <x v="1"/>
    <x v="0"/>
    <x v="40"/>
    <x v="1"/>
    <n v="6"/>
    <s v="Moderate"/>
    <x v="2"/>
    <n v="7"/>
    <x v="0"/>
  </r>
  <r>
    <n v="501"/>
    <x v="0"/>
    <x v="0"/>
    <x v="0"/>
    <x v="0"/>
    <x v="6"/>
    <n v="6.2"/>
    <x v="1"/>
    <x v="9"/>
    <x v="0"/>
    <x v="26"/>
    <x v="0"/>
    <n v="6"/>
    <s v="Moderate"/>
    <x v="2"/>
    <n v="7"/>
    <x v="0"/>
  </r>
  <r>
    <n v="502"/>
    <x v="3"/>
    <x v="1"/>
    <x v="1"/>
    <x v="2"/>
    <x v="14"/>
    <n v="4.5"/>
    <x v="0"/>
    <x v="10"/>
    <x v="1"/>
    <x v="11"/>
    <x v="1"/>
    <n v="7"/>
    <s v="Sever"/>
    <x v="0"/>
    <m/>
    <x v="10"/>
  </r>
  <r>
    <n v="503"/>
    <x v="1"/>
    <x v="1"/>
    <x v="0"/>
    <x v="0"/>
    <x v="18"/>
    <n v="3.8"/>
    <x v="2"/>
    <x v="0"/>
    <x v="1"/>
    <x v="33"/>
    <x v="1"/>
    <n v="8"/>
    <s v="Sever"/>
    <x v="2"/>
    <n v="4"/>
    <x v="2"/>
  </r>
  <r>
    <n v="504"/>
    <x v="5"/>
    <x v="1"/>
    <x v="1"/>
    <x v="2"/>
    <x v="25"/>
    <n v="4.7"/>
    <x v="0"/>
    <x v="0"/>
    <x v="0"/>
    <x v="28"/>
    <x v="1"/>
    <n v="7"/>
    <s v="Sever"/>
    <x v="0"/>
    <n v="6"/>
    <x v="5"/>
  </r>
  <r>
    <n v="505"/>
    <x v="0"/>
    <x v="0"/>
    <x v="0"/>
    <x v="0"/>
    <x v="26"/>
    <n v="5.0999999999999996"/>
    <x v="0"/>
    <x v="1"/>
    <x v="0"/>
    <x v="2"/>
    <x v="1"/>
    <n v="6"/>
    <s v="Moderate"/>
    <x v="2"/>
    <n v="7"/>
    <x v="0"/>
  </r>
  <r>
    <n v="506"/>
    <x v="3"/>
    <x v="1"/>
    <x v="1"/>
    <x v="2"/>
    <x v="27"/>
    <n v="5.5"/>
    <x v="0"/>
    <x v="9"/>
    <x v="0"/>
    <x v="10"/>
    <x v="0"/>
    <n v="6"/>
    <s v="Moderate"/>
    <x v="2"/>
    <n v="7"/>
    <x v="0"/>
  </r>
  <r>
    <n v="507"/>
    <x v="1"/>
    <x v="1"/>
    <x v="0"/>
    <x v="0"/>
    <x v="36"/>
    <n v="6.5"/>
    <x v="1"/>
    <x v="0"/>
    <x v="0"/>
    <x v="0"/>
    <x v="0"/>
    <n v="5"/>
    <s v="Moderate"/>
    <x v="0"/>
    <n v="8"/>
    <x v="0"/>
  </r>
  <r>
    <n v="508"/>
    <x v="5"/>
    <x v="1"/>
    <x v="1"/>
    <x v="2"/>
    <x v="59"/>
    <n v="4.2"/>
    <x v="0"/>
    <x v="3"/>
    <x v="1"/>
    <x v="31"/>
    <x v="1"/>
    <n v="7"/>
    <s v="Sever"/>
    <x v="2"/>
    <n v="5"/>
    <x v="5"/>
  </r>
  <r>
    <n v="509"/>
    <x v="0"/>
    <x v="0"/>
    <x v="0"/>
    <x v="0"/>
    <x v="109"/>
    <n v="6.8"/>
    <x v="1"/>
    <x v="9"/>
    <x v="0"/>
    <x v="3"/>
    <x v="0"/>
    <n v="5"/>
    <s v="Moderate"/>
    <x v="0"/>
    <n v="8"/>
    <x v="0"/>
  </r>
  <r>
    <n v="510"/>
    <x v="3"/>
    <x v="1"/>
    <x v="1"/>
    <x v="2"/>
    <x v="3"/>
    <n v="4.8"/>
    <x v="0"/>
    <x v="0"/>
    <x v="0"/>
    <x v="20"/>
    <x v="1"/>
    <n v="7"/>
    <s v="Sever"/>
    <x v="2"/>
    <n v="6"/>
    <x v="5"/>
  </r>
  <r>
    <n v="511"/>
    <x v="1"/>
    <x v="1"/>
    <x v="0"/>
    <x v="0"/>
    <x v="6"/>
    <n v="6.1"/>
    <x v="1"/>
    <x v="0"/>
    <x v="0"/>
    <x v="25"/>
    <x v="0"/>
    <n v="6"/>
    <s v="Moderate"/>
    <x v="2"/>
    <n v="7"/>
    <x v="0"/>
  </r>
  <r>
    <n v="512"/>
    <x v="5"/>
    <x v="1"/>
    <x v="1"/>
    <x v="2"/>
    <x v="14"/>
    <n v="4.4000000000000004"/>
    <x v="0"/>
    <x v="10"/>
    <x v="1"/>
    <x v="31"/>
    <x v="1"/>
    <n v="7"/>
    <s v="Sever"/>
    <x v="0"/>
    <m/>
    <x v="10"/>
  </r>
  <r>
    <n v="513"/>
    <x v="0"/>
    <x v="0"/>
    <x v="0"/>
    <x v="0"/>
    <x v="18"/>
    <n v="3.7"/>
    <x v="2"/>
    <x v="1"/>
    <x v="1"/>
    <x v="34"/>
    <x v="1"/>
    <n v="8"/>
    <s v="Sever"/>
    <x v="2"/>
    <n v="4"/>
    <x v="2"/>
  </r>
  <r>
    <n v="514"/>
    <x v="3"/>
    <x v="1"/>
    <x v="1"/>
    <x v="2"/>
    <x v="25"/>
    <n v="4.5999999999999996"/>
    <x v="0"/>
    <x v="0"/>
    <x v="0"/>
    <x v="29"/>
    <x v="1"/>
    <n v="7"/>
    <s v="Sever"/>
    <x v="0"/>
    <n v="6"/>
    <x v="5"/>
  </r>
  <r>
    <n v="515"/>
    <x v="1"/>
    <x v="1"/>
    <x v="0"/>
    <x v="0"/>
    <x v="26"/>
    <n v="5.2"/>
    <x v="0"/>
    <x v="1"/>
    <x v="0"/>
    <x v="17"/>
    <x v="0"/>
    <n v="6"/>
    <s v="Moderate"/>
    <x v="2"/>
    <n v="7"/>
    <x v="0"/>
  </r>
  <r>
    <n v="516"/>
    <x v="5"/>
    <x v="1"/>
    <x v="1"/>
    <x v="2"/>
    <x v="27"/>
    <n v="5.6"/>
    <x v="0"/>
    <x v="9"/>
    <x v="0"/>
    <x v="13"/>
    <x v="0"/>
    <n v="6"/>
    <s v="Moderate"/>
    <x v="2"/>
    <n v="7"/>
    <x v="0"/>
  </r>
  <r>
    <n v="517"/>
    <x v="0"/>
    <x v="0"/>
    <x v="0"/>
    <x v="0"/>
    <x v="36"/>
    <n v="6.6"/>
    <x v="1"/>
    <x v="0"/>
    <x v="0"/>
    <x v="25"/>
    <x v="0"/>
    <n v="5"/>
    <s v="Moderate"/>
    <x v="0"/>
    <n v="8"/>
    <x v="0"/>
  </r>
  <r>
    <n v="518"/>
    <x v="3"/>
    <x v="1"/>
    <x v="1"/>
    <x v="2"/>
    <x v="59"/>
    <n v="4.0999999999999996"/>
    <x v="0"/>
    <x v="3"/>
    <x v="1"/>
    <x v="5"/>
    <x v="1"/>
    <n v="7"/>
    <s v="Sever"/>
    <x v="2"/>
    <n v="5"/>
    <x v="5"/>
  </r>
  <r>
    <n v="519"/>
    <x v="1"/>
    <x v="1"/>
    <x v="0"/>
    <x v="0"/>
    <x v="109"/>
    <n v="6.9"/>
    <x v="1"/>
    <x v="9"/>
    <x v="0"/>
    <x v="14"/>
    <x v="0"/>
    <n v="5"/>
    <s v="Moderate"/>
    <x v="0"/>
    <n v="8"/>
    <x v="0"/>
  </r>
  <r>
    <n v="520"/>
    <x v="5"/>
    <x v="1"/>
    <x v="1"/>
    <x v="2"/>
    <x v="3"/>
    <n v="4.7"/>
    <x v="0"/>
    <x v="1"/>
    <x v="0"/>
    <x v="28"/>
    <x v="1"/>
    <n v="7"/>
    <s v="Sever"/>
    <x v="2"/>
    <n v="6"/>
    <x v="5"/>
  </r>
  <r>
    <n v="521"/>
    <x v="0"/>
    <x v="0"/>
    <x v="0"/>
    <x v="0"/>
    <x v="6"/>
    <n v="6"/>
    <x v="1"/>
    <x v="9"/>
    <x v="0"/>
    <x v="0"/>
    <x v="0"/>
    <n v="6"/>
    <s v="Moderate"/>
    <x v="2"/>
    <n v="7"/>
    <x v="0"/>
  </r>
  <r>
    <n v="522"/>
    <x v="3"/>
    <x v="1"/>
    <x v="1"/>
    <x v="2"/>
    <x v="14"/>
    <n v="4.3"/>
    <x v="0"/>
    <x v="10"/>
    <x v="1"/>
    <x v="5"/>
    <x v="1"/>
    <n v="7"/>
    <s v="Sever"/>
    <x v="0"/>
    <m/>
    <x v="10"/>
  </r>
  <r>
    <n v="523"/>
    <x v="1"/>
    <x v="1"/>
    <x v="0"/>
    <x v="0"/>
    <x v="18"/>
    <n v="3.6"/>
    <x v="2"/>
    <x v="0"/>
    <x v="1"/>
    <x v="36"/>
    <x v="1"/>
    <n v="8"/>
    <s v="Sever"/>
    <x v="2"/>
    <n v="4"/>
    <x v="2"/>
  </r>
  <r>
    <n v="524"/>
    <x v="5"/>
    <x v="1"/>
    <x v="1"/>
    <x v="2"/>
    <x v="25"/>
    <n v="4.5"/>
    <x v="0"/>
    <x v="3"/>
    <x v="0"/>
    <x v="30"/>
    <x v="1"/>
    <n v="7"/>
    <s v="Sever"/>
    <x v="0"/>
    <n v="6"/>
    <x v="5"/>
  </r>
  <r>
    <n v="525"/>
    <x v="0"/>
    <x v="0"/>
    <x v="0"/>
    <x v="0"/>
    <x v="26"/>
    <n v="5.3"/>
    <x v="0"/>
    <x v="1"/>
    <x v="0"/>
    <x v="10"/>
    <x v="0"/>
    <n v="6"/>
    <s v="Moderate"/>
    <x v="2"/>
    <n v="7"/>
    <x v="0"/>
  </r>
  <r>
    <n v="526"/>
    <x v="3"/>
    <x v="1"/>
    <x v="1"/>
    <x v="2"/>
    <x v="27"/>
    <n v="5.7"/>
    <x v="0"/>
    <x v="9"/>
    <x v="0"/>
    <x v="19"/>
    <x v="0"/>
    <n v="6"/>
    <s v="Moderate"/>
    <x v="2"/>
    <n v="7"/>
    <x v="0"/>
  </r>
  <r>
    <n v="527"/>
    <x v="1"/>
    <x v="1"/>
    <x v="0"/>
    <x v="0"/>
    <x v="36"/>
    <n v="6.7"/>
    <x v="1"/>
    <x v="0"/>
    <x v="0"/>
    <x v="26"/>
    <x v="0"/>
    <n v="5"/>
    <s v="Moderate"/>
    <x v="0"/>
    <n v="8"/>
    <x v="0"/>
  </r>
  <r>
    <n v="528"/>
    <x v="5"/>
    <x v="1"/>
    <x v="1"/>
    <x v="2"/>
    <x v="59"/>
    <n v="4"/>
    <x v="0"/>
    <x v="3"/>
    <x v="1"/>
    <x v="32"/>
    <x v="1"/>
    <n v="7"/>
    <s v="Sever"/>
    <x v="2"/>
    <n v="5"/>
    <x v="5"/>
  </r>
  <r>
    <n v="529"/>
    <x v="0"/>
    <x v="0"/>
    <x v="0"/>
    <x v="0"/>
    <x v="109"/>
    <n v="7"/>
    <x v="1"/>
    <x v="9"/>
    <x v="0"/>
    <x v="7"/>
    <x v="0"/>
    <n v="5"/>
    <s v="Moderate"/>
    <x v="0"/>
    <n v="8"/>
    <x v="0"/>
  </r>
  <r>
    <n v="530"/>
    <x v="3"/>
    <x v="1"/>
    <x v="1"/>
    <x v="2"/>
    <x v="3"/>
    <n v="4.5999999999999996"/>
    <x v="0"/>
    <x v="0"/>
    <x v="0"/>
    <x v="29"/>
    <x v="1"/>
    <n v="7"/>
    <s v="Sever"/>
    <x v="2"/>
    <n v="6"/>
    <x v="5"/>
  </r>
  <r>
    <n v="531"/>
    <x v="1"/>
    <x v="1"/>
    <x v="0"/>
    <x v="0"/>
    <x v="6"/>
    <n v="5.9"/>
    <x v="0"/>
    <x v="1"/>
    <x v="0"/>
    <x v="19"/>
    <x v="0"/>
    <n v="6"/>
    <s v="Moderate"/>
    <x v="2"/>
    <n v="7"/>
    <x v="0"/>
  </r>
  <r>
    <n v="532"/>
    <x v="5"/>
    <x v="1"/>
    <x v="1"/>
    <x v="2"/>
    <x v="14"/>
    <n v="4.2"/>
    <x v="0"/>
    <x v="10"/>
    <x v="1"/>
    <x v="32"/>
    <x v="1"/>
    <n v="7"/>
    <s v="Sever"/>
    <x v="0"/>
    <m/>
    <x v="10"/>
  </r>
  <r>
    <n v="533"/>
    <x v="0"/>
    <x v="0"/>
    <x v="0"/>
    <x v="0"/>
    <x v="18"/>
    <n v="3.5"/>
    <x v="2"/>
    <x v="0"/>
    <x v="1"/>
    <x v="38"/>
    <x v="1"/>
    <n v="8"/>
    <s v="Sever"/>
    <x v="2"/>
    <n v="4"/>
    <x v="2"/>
  </r>
  <r>
    <n v="534"/>
    <x v="3"/>
    <x v="1"/>
    <x v="1"/>
    <x v="2"/>
    <x v="25"/>
    <n v="4.4000000000000004"/>
    <x v="0"/>
    <x v="3"/>
    <x v="0"/>
    <x v="11"/>
    <x v="1"/>
    <n v="7"/>
    <s v="Sever"/>
    <x v="0"/>
    <n v="6"/>
    <x v="5"/>
  </r>
  <r>
    <n v="535"/>
    <x v="1"/>
    <x v="1"/>
    <x v="0"/>
    <x v="0"/>
    <x v="26"/>
    <n v="5.4"/>
    <x v="0"/>
    <x v="1"/>
    <x v="0"/>
    <x v="13"/>
    <x v="0"/>
    <n v="6"/>
    <s v="Moderate"/>
    <x v="2"/>
    <n v="7"/>
    <x v="0"/>
  </r>
  <r>
    <n v="536"/>
    <x v="5"/>
    <x v="1"/>
    <x v="1"/>
    <x v="2"/>
    <x v="27"/>
    <n v="5.8"/>
    <x v="0"/>
    <x v="9"/>
    <x v="0"/>
    <x v="0"/>
    <x v="0"/>
    <n v="6"/>
    <s v="Moderate"/>
    <x v="2"/>
    <n v="7"/>
    <x v="0"/>
  </r>
  <r>
    <n v="537"/>
    <x v="0"/>
    <x v="0"/>
    <x v="0"/>
    <x v="0"/>
    <x v="36"/>
    <n v="6.8"/>
    <x v="1"/>
    <x v="0"/>
    <x v="0"/>
    <x v="6"/>
    <x v="0"/>
    <n v="5"/>
    <s v="Moderate"/>
    <x v="0"/>
    <n v="8"/>
    <x v="0"/>
  </r>
  <r>
    <n v="538"/>
    <x v="3"/>
    <x v="1"/>
    <x v="1"/>
    <x v="2"/>
    <x v="59"/>
    <n v="3.9"/>
    <x v="2"/>
    <x v="3"/>
    <x v="1"/>
    <x v="33"/>
    <x v="1"/>
    <n v="7"/>
    <s v="Sever"/>
    <x v="2"/>
    <n v="5"/>
    <x v="5"/>
  </r>
  <r>
    <n v="539"/>
    <x v="1"/>
    <x v="1"/>
    <x v="0"/>
    <x v="0"/>
    <x v="109"/>
    <n v="7.1"/>
    <x v="1"/>
    <x v="9"/>
    <x v="0"/>
    <x v="12"/>
    <x v="0"/>
    <n v="5"/>
    <s v="Moderate"/>
    <x v="0"/>
    <n v="8"/>
    <x v="0"/>
  </r>
  <r>
    <n v="540"/>
    <x v="5"/>
    <x v="1"/>
    <x v="1"/>
    <x v="2"/>
    <x v="3"/>
    <n v="4.5"/>
    <x v="0"/>
    <x v="1"/>
    <x v="0"/>
    <x v="30"/>
    <x v="1"/>
    <n v="7"/>
    <s v="Sever"/>
    <x v="2"/>
    <n v="6"/>
    <x v="5"/>
  </r>
  <r>
    <n v="541"/>
    <x v="0"/>
    <x v="0"/>
    <x v="0"/>
    <x v="0"/>
    <x v="6"/>
    <n v="5.8"/>
    <x v="0"/>
    <x v="9"/>
    <x v="0"/>
    <x v="13"/>
    <x v="0"/>
    <n v="6"/>
    <s v="Moderate"/>
    <x v="2"/>
    <n v="7"/>
    <x v="0"/>
  </r>
  <r>
    <n v="542"/>
    <x v="3"/>
    <x v="1"/>
    <x v="1"/>
    <x v="2"/>
    <x v="14"/>
    <n v="4.0999999999999996"/>
    <x v="0"/>
    <x v="10"/>
    <x v="1"/>
    <x v="33"/>
    <x v="1"/>
    <n v="7"/>
    <s v="Sever"/>
    <x v="0"/>
    <m/>
    <x v="10"/>
  </r>
  <r>
    <n v="543"/>
    <x v="1"/>
    <x v="1"/>
    <x v="0"/>
    <x v="0"/>
    <x v="18"/>
    <n v="3.4"/>
    <x v="2"/>
    <x v="0"/>
    <x v="1"/>
    <x v="40"/>
    <x v="1"/>
    <n v="8"/>
    <s v="Sever"/>
    <x v="2"/>
    <n v="4"/>
    <x v="2"/>
  </r>
  <r>
    <n v="544"/>
    <x v="5"/>
    <x v="1"/>
    <x v="1"/>
    <x v="2"/>
    <x v="25"/>
    <n v="4.3"/>
    <x v="0"/>
    <x v="0"/>
    <x v="0"/>
    <x v="31"/>
    <x v="1"/>
    <n v="7"/>
    <s v="Sever"/>
    <x v="0"/>
    <n v="6"/>
    <x v="5"/>
  </r>
  <r>
    <n v="545"/>
    <x v="0"/>
    <x v="0"/>
    <x v="0"/>
    <x v="0"/>
    <x v="26"/>
    <n v="5.5"/>
    <x v="0"/>
    <x v="1"/>
    <x v="0"/>
    <x v="19"/>
    <x v="0"/>
    <n v="6"/>
    <s v="Moderate"/>
    <x v="2"/>
    <n v="7"/>
    <x v="0"/>
  </r>
  <r>
    <n v="546"/>
    <x v="3"/>
    <x v="1"/>
    <x v="1"/>
    <x v="2"/>
    <x v="27"/>
    <n v="5.9"/>
    <x v="0"/>
    <x v="9"/>
    <x v="0"/>
    <x v="25"/>
    <x v="0"/>
    <n v="6"/>
    <s v="Moderate"/>
    <x v="2"/>
    <n v="7"/>
    <x v="0"/>
  </r>
  <r>
    <n v="547"/>
    <x v="1"/>
    <x v="1"/>
    <x v="0"/>
    <x v="0"/>
    <x v="36"/>
    <n v="6.9"/>
    <x v="1"/>
    <x v="0"/>
    <x v="0"/>
    <x v="27"/>
    <x v="0"/>
    <n v="5"/>
    <s v="Moderate"/>
    <x v="0"/>
    <n v="8"/>
    <x v="0"/>
  </r>
  <r>
    <n v="548"/>
    <x v="5"/>
    <x v="1"/>
    <x v="1"/>
    <x v="2"/>
    <x v="59"/>
    <n v="3.8"/>
    <x v="2"/>
    <x v="3"/>
    <x v="1"/>
    <x v="34"/>
    <x v="1"/>
    <n v="7"/>
    <s v="Sever"/>
    <x v="2"/>
    <n v="5"/>
    <x v="5"/>
  </r>
  <r>
    <n v="549"/>
    <x v="0"/>
    <x v="0"/>
    <x v="0"/>
    <x v="0"/>
    <x v="109"/>
    <n v="7.2"/>
    <x v="1"/>
    <x v="9"/>
    <x v="0"/>
    <x v="24"/>
    <x v="0"/>
    <n v="5"/>
    <s v="Moderate"/>
    <x v="0"/>
    <n v="8"/>
    <x v="0"/>
  </r>
  <r>
    <n v="550"/>
    <x v="3"/>
    <x v="1"/>
    <x v="1"/>
    <x v="2"/>
    <x v="3"/>
    <n v="4.4000000000000004"/>
    <x v="0"/>
    <x v="0"/>
    <x v="0"/>
    <x v="11"/>
    <x v="1"/>
    <n v="7"/>
    <s v="Sever"/>
    <x v="2"/>
    <n v="6"/>
    <x v="5"/>
  </r>
  <r>
    <n v="551"/>
    <x v="1"/>
    <x v="1"/>
    <x v="0"/>
    <x v="0"/>
    <x v="6"/>
    <n v="5.7"/>
    <x v="0"/>
    <x v="1"/>
    <x v="0"/>
    <x v="10"/>
    <x v="0"/>
    <n v="6"/>
    <s v="Moderate"/>
    <x v="2"/>
    <n v="7"/>
    <x v="0"/>
  </r>
  <r>
    <n v="552"/>
    <x v="5"/>
    <x v="1"/>
    <x v="1"/>
    <x v="2"/>
    <x v="14"/>
    <n v="4"/>
    <x v="0"/>
    <x v="10"/>
    <x v="1"/>
    <x v="34"/>
    <x v="1"/>
    <n v="7"/>
    <s v="Sever"/>
    <x v="0"/>
    <m/>
    <x v="10"/>
  </r>
  <r>
    <n v="553"/>
    <x v="0"/>
    <x v="0"/>
    <x v="0"/>
    <x v="0"/>
    <x v="18"/>
    <n v="3.3"/>
    <x v="2"/>
    <x v="0"/>
    <x v="1"/>
    <x v="43"/>
    <x v="1"/>
    <n v="8"/>
    <s v="Sever"/>
    <x v="2"/>
    <n v="4"/>
    <x v="2"/>
  </r>
  <r>
    <n v="554"/>
    <x v="3"/>
    <x v="1"/>
    <x v="1"/>
    <x v="2"/>
    <x v="25"/>
    <n v="4.2"/>
    <x v="0"/>
    <x v="3"/>
    <x v="0"/>
    <x v="5"/>
    <x v="1"/>
    <n v="7"/>
    <s v="Sever"/>
    <x v="0"/>
    <n v="6"/>
    <x v="5"/>
  </r>
  <r>
    <n v="555"/>
    <x v="1"/>
    <x v="1"/>
    <x v="0"/>
    <x v="0"/>
    <x v="26"/>
    <n v="5.6"/>
    <x v="0"/>
    <x v="1"/>
    <x v="0"/>
    <x v="0"/>
    <x v="0"/>
    <n v="6"/>
    <s v="Moderate"/>
    <x v="2"/>
    <n v="7"/>
    <x v="0"/>
  </r>
  <r>
    <n v="556"/>
    <x v="5"/>
    <x v="1"/>
    <x v="1"/>
    <x v="2"/>
    <x v="27"/>
    <n v="6"/>
    <x v="1"/>
    <x v="9"/>
    <x v="0"/>
    <x v="26"/>
    <x v="0"/>
    <n v="6"/>
    <s v="Moderate"/>
    <x v="2"/>
    <n v="7"/>
    <x v="0"/>
  </r>
  <r>
    <n v="557"/>
    <x v="0"/>
    <x v="0"/>
    <x v="0"/>
    <x v="0"/>
    <x v="36"/>
    <n v="7"/>
    <x v="1"/>
    <x v="0"/>
    <x v="0"/>
    <x v="3"/>
    <x v="0"/>
    <n v="5"/>
    <s v="Moderate"/>
    <x v="0"/>
    <n v="8"/>
    <x v="0"/>
  </r>
  <r>
    <n v="558"/>
    <x v="3"/>
    <x v="1"/>
    <x v="1"/>
    <x v="2"/>
    <x v="59"/>
    <n v="3.7"/>
    <x v="2"/>
    <x v="3"/>
    <x v="1"/>
    <x v="36"/>
    <x v="1"/>
    <n v="7"/>
    <s v="Sever"/>
    <x v="2"/>
    <n v="5"/>
    <x v="5"/>
  </r>
  <r>
    <n v="559"/>
    <x v="1"/>
    <x v="1"/>
    <x v="0"/>
    <x v="0"/>
    <x v="109"/>
    <n v="7.3"/>
    <x v="1"/>
    <x v="9"/>
    <x v="0"/>
    <x v="9"/>
    <x v="0"/>
    <n v="5"/>
    <s v="Moderate"/>
    <x v="0"/>
    <n v="8"/>
    <x v="0"/>
  </r>
  <r>
    <n v="560"/>
    <x v="5"/>
    <x v="1"/>
    <x v="1"/>
    <x v="2"/>
    <x v="3"/>
    <n v="4.3"/>
    <x v="0"/>
    <x v="1"/>
    <x v="0"/>
    <x v="31"/>
    <x v="1"/>
    <n v="7"/>
    <s v="Sever"/>
    <x v="2"/>
    <n v="6"/>
    <x v="5"/>
  </r>
  <r>
    <n v="561"/>
    <x v="0"/>
    <x v="0"/>
    <x v="0"/>
    <x v="0"/>
    <x v="6"/>
    <n v="5.6"/>
    <x v="0"/>
    <x v="9"/>
    <x v="0"/>
    <x v="17"/>
    <x v="0"/>
    <n v="6"/>
    <s v="Moderate"/>
    <x v="2"/>
    <n v="7"/>
    <x v="0"/>
  </r>
  <r>
    <n v="562"/>
    <x v="3"/>
    <x v="1"/>
    <x v="1"/>
    <x v="2"/>
    <x v="14"/>
    <n v="3.9"/>
    <x v="2"/>
    <x v="10"/>
    <x v="1"/>
    <x v="36"/>
    <x v="1"/>
    <n v="7"/>
    <s v="Sever"/>
    <x v="0"/>
    <m/>
    <x v="10"/>
  </r>
  <r>
    <n v="563"/>
    <x v="1"/>
    <x v="1"/>
    <x v="0"/>
    <x v="0"/>
    <x v="18"/>
    <n v="3.2"/>
    <x v="2"/>
    <x v="0"/>
    <x v="1"/>
    <x v="45"/>
    <x v="1"/>
    <n v="8"/>
    <s v="Sever"/>
    <x v="2"/>
    <n v="4"/>
    <x v="2"/>
  </r>
  <r>
    <n v="564"/>
    <x v="5"/>
    <x v="1"/>
    <x v="1"/>
    <x v="2"/>
    <x v="25"/>
    <n v="4.0999999999999996"/>
    <x v="0"/>
    <x v="0"/>
    <x v="0"/>
    <x v="32"/>
    <x v="1"/>
    <n v="7"/>
    <s v="Sever"/>
    <x v="0"/>
    <n v="6"/>
    <x v="5"/>
  </r>
  <r>
    <n v="565"/>
    <x v="0"/>
    <x v="0"/>
    <x v="0"/>
    <x v="0"/>
    <x v="26"/>
    <n v="5.7"/>
    <x v="0"/>
    <x v="1"/>
    <x v="0"/>
    <x v="25"/>
    <x v="0"/>
    <n v="6"/>
    <s v="Moderate"/>
    <x v="2"/>
    <n v="7"/>
    <x v="0"/>
  </r>
  <r>
    <n v="566"/>
    <x v="3"/>
    <x v="1"/>
    <x v="1"/>
    <x v="2"/>
    <x v="27"/>
    <n v="6.1"/>
    <x v="1"/>
    <x v="9"/>
    <x v="0"/>
    <x v="6"/>
    <x v="0"/>
    <n v="6"/>
    <s v="Moderate"/>
    <x v="2"/>
    <n v="7"/>
    <x v="0"/>
  </r>
  <r>
    <n v="567"/>
    <x v="1"/>
    <x v="1"/>
    <x v="0"/>
    <x v="0"/>
    <x v="36"/>
    <n v="7.1"/>
    <x v="1"/>
    <x v="0"/>
    <x v="0"/>
    <x v="14"/>
    <x v="0"/>
    <n v="5"/>
    <s v="Moderate"/>
    <x v="0"/>
    <n v="8"/>
    <x v="0"/>
  </r>
  <r>
    <n v="568"/>
    <x v="5"/>
    <x v="1"/>
    <x v="1"/>
    <x v="2"/>
    <x v="59"/>
    <n v="3.6"/>
    <x v="2"/>
    <x v="3"/>
    <x v="1"/>
    <x v="38"/>
    <x v="1"/>
    <n v="7"/>
    <s v="Sever"/>
    <x v="2"/>
    <n v="5"/>
    <x v="5"/>
  </r>
  <r>
    <n v="569"/>
    <x v="0"/>
    <x v="0"/>
    <x v="0"/>
    <x v="0"/>
    <x v="109"/>
    <n v="7.4"/>
    <x v="1"/>
    <x v="9"/>
    <x v="0"/>
    <x v="16"/>
    <x v="0"/>
    <n v="5"/>
    <s v="Moderate"/>
    <x v="0"/>
    <n v="8"/>
    <x v="0"/>
  </r>
  <r>
    <n v="570"/>
    <x v="3"/>
    <x v="1"/>
    <x v="1"/>
    <x v="2"/>
    <x v="3"/>
    <n v="4.2"/>
    <x v="0"/>
    <x v="0"/>
    <x v="0"/>
    <x v="5"/>
    <x v="1"/>
    <n v="7"/>
    <s v="Sever"/>
    <x v="2"/>
    <n v="6"/>
    <x v="5"/>
  </r>
  <r>
    <n v="571"/>
    <x v="1"/>
    <x v="1"/>
    <x v="0"/>
    <x v="0"/>
    <x v="10"/>
    <n v="6.1"/>
    <x v="1"/>
    <x v="0"/>
    <x v="0"/>
    <x v="8"/>
    <x v="1"/>
    <n v="5"/>
    <s v="Moderate"/>
    <x v="2"/>
    <n v="7"/>
    <x v="0"/>
  </r>
  <r>
    <n v="572"/>
    <x v="4"/>
    <x v="1"/>
    <x v="1"/>
    <x v="2"/>
    <x v="17"/>
    <n v="3.8"/>
    <x v="2"/>
    <x v="11"/>
    <x v="1"/>
    <x v="11"/>
    <x v="1"/>
    <n v="8"/>
    <s v="Sever"/>
    <x v="0"/>
    <n v="4"/>
    <x v="2"/>
  </r>
  <r>
    <n v="573"/>
    <x v="0"/>
    <x v="0"/>
    <x v="0"/>
    <x v="0"/>
    <x v="24"/>
    <n v="5.5"/>
    <x v="0"/>
    <x v="1"/>
    <x v="0"/>
    <x v="10"/>
    <x v="0"/>
    <n v="6"/>
    <s v="Moderate"/>
    <x v="2"/>
    <n v="8"/>
    <x v="0"/>
  </r>
  <r>
    <n v="574"/>
    <x v="5"/>
    <x v="1"/>
    <x v="1"/>
    <x v="2"/>
    <x v="109"/>
    <n v="7.2"/>
    <x v="1"/>
    <x v="3"/>
    <x v="0"/>
    <x v="14"/>
    <x v="0"/>
    <n v="4"/>
    <s v="Mild"/>
    <x v="2"/>
    <n v="9"/>
    <x v="0"/>
  </r>
  <r>
    <n v="575"/>
    <x v="3"/>
    <x v="1"/>
    <x v="0"/>
    <x v="0"/>
    <x v="20"/>
    <n v="4.2"/>
    <x v="0"/>
    <x v="0"/>
    <x v="1"/>
    <x v="28"/>
    <x v="1"/>
    <n v="7"/>
    <s v="Sever"/>
    <x v="0"/>
    <n v="5"/>
    <x v="5"/>
  </r>
  <r>
    <n v="576"/>
    <x v="6"/>
    <x v="1"/>
    <x v="1"/>
    <x v="2"/>
    <x v="34"/>
    <n v="6.8"/>
    <x v="1"/>
    <x v="1"/>
    <x v="0"/>
    <x v="6"/>
    <x v="0"/>
    <n v="5"/>
    <s v="Moderate"/>
    <x v="2"/>
    <n v="8"/>
    <x v="0"/>
  </r>
  <r>
    <n v="577"/>
    <x v="1"/>
    <x v="1"/>
    <x v="0"/>
    <x v="0"/>
    <x v="1"/>
    <n v="5.9"/>
    <x v="0"/>
    <x v="0"/>
    <x v="0"/>
    <x v="13"/>
    <x v="0"/>
    <n v="6"/>
    <s v="Moderate"/>
    <x v="0"/>
    <n v="7"/>
    <x v="0"/>
  </r>
  <r>
    <n v="578"/>
    <x v="5"/>
    <x v="1"/>
    <x v="1"/>
    <x v="2"/>
    <x v="12"/>
    <n v="6.5"/>
    <x v="1"/>
    <x v="3"/>
    <x v="0"/>
    <x v="27"/>
    <x v="0"/>
    <n v="5"/>
    <s v="Moderate"/>
    <x v="2"/>
    <n v="8"/>
    <x v="0"/>
  </r>
  <r>
    <n v="579"/>
    <x v="0"/>
    <x v="0"/>
    <x v="0"/>
    <x v="0"/>
    <x v="9"/>
    <n v="4.7"/>
    <x v="0"/>
    <x v="11"/>
    <x v="1"/>
    <x v="20"/>
    <x v="1"/>
    <n v="7"/>
    <s v="Sever"/>
    <x v="2"/>
    <n v="5"/>
    <x v="2"/>
  </r>
  <r>
    <n v="580"/>
    <x v="4"/>
    <x v="1"/>
    <x v="1"/>
    <x v="2"/>
    <x v="3"/>
    <n v="5.2"/>
    <x v="0"/>
    <x v="0"/>
    <x v="0"/>
    <x v="2"/>
    <x v="1"/>
    <n v="6"/>
    <s v="Moderate"/>
    <x v="0"/>
    <n v="6"/>
    <x v="5"/>
  </r>
  <r>
    <n v="581"/>
    <x v="3"/>
    <x v="1"/>
    <x v="0"/>
    <x v="0"/>
    <x v="2"/>
    <n v="6.3"/>
    <x v="1"/>
    <x v="1"/>
    <x v="0"/>
    <x v="25"/>
    <x v="0"/>
    <n v="5"/>
    <s v="Moderate"/>
    <x v="2"/>
    <n v="8"/>
    <x v="0"/>
  </r>
  <r>
    <n v="582"/>
    <x v="6"/>
    <x v="1"/>
    <x v="1"/>
    <x v="2"/>
    <x v="11"/>
    <n v="4.9000000000000004"/>
    <x v="0"/>
    <x v="3"/>
    <x v="1"/>
    <x v="15"/>
    <x v="1"/>
    <n v="7"/>
    <s v="Sever"/>
    <x v="0"/>
    <n v="5"/>
    <x v="5"/>
  </r>
  <r>
    <n v="583"/>
    <x v="1"/>
    <x v="1"/>
    <x v="0"/>
    <x v="0"/>
    <x v="13"/>
    <n v="6.7"/>
    <x v="1"/>
    <x v="0"/>
    <x v="0"/>
    <x v="3"/>
    <x v="0"/>
    <n v="5"/>
    <s v="Moderate"/>
    <x v="2"/>
    <n v="8"/>
    <x v="0"/>
  </r>
  <r>
    <n v="584"/>
    <x v="5"/>
    <x v="1"/>
    <x v="1"/>
    <x v="2"/>
    <x v="14"/>
    <n v="5.8"/>
    <x v="0"/>
    <x v="10"/>
    <x v="0"/>
    <x v="0"/>
    <x v="0"/>
    <n v="6"/>
    <s v="Moderate"/>
    <x v="0"/>
    <m/>
    <x v="6"/>
  </r>
  <r>
    <n v="585"/>
    <x v="0"/>
    <x v="0"/>
    <x v="0"/>
    <x v="0"/>
    <x v="7"/>
    <n v="4.5"/>
    <x v="0"/>
    <x v="11"/>
    <x v="1"/>
    <x v="29"/>
    <x v="1"/>
    <n v="8"/>
    <s v="Sever"/>
    <x v="2"/>
    <n v="4"/>
    <x v="2"/>
  </r>
  <r>
    <n v="586"/>
    <x v="4"/>
    <x v="1"/>
    <x v="1"/>
    <x v="2"/>
    <x v="59"/>
    <n v="6.4"/>
    <x v="1"/>
    <x v="3"/>
    <x v="0"/>
    <x v="26"/>
    <x v="0"/>
    <n v="5"/>
    <s v="Moderate"/>
    <x v="2"/>
    <n v="8"/>
    <x v="0"/>
  </r>
  <r>
    <n v="587"/>
    <x v="3"/>
    <x v="1"/>
    <x v="0"/>
    <x v="0"/>
    <x v="58"/>
    <n v="4.0999999999999996"/>
    <x v="0"/>
    <x v="0"/>
    <x v="1"/>
    <x v="30"/>
    <x v="1"/>
    <n v="7"/>
    <s v="Sever"/>
    <x v="0"/>
    <n v="5"/>
    <x v="5"/>
  </r>
  <r>
    <n v="588"/>
    <x v="6"/>
    <x v="1"/>
    <x v="1"/>
    <x v="2"/>
    <x v="10"/>
    <n v="6.6"/>
    <x v="1"/>
    <x v="1"/>
    <x v="0"/>
    <x v="6"/>
    <x v="0"/>
    <n v="5"/>
    <s v="Moderate"/>
    <x v="2"/>
    <n v="8"/>
    <x v="0"/>
  </r>
  <r>
    <n v="589"/>
    <x v="1"/>
    <x v="1"/>
    <x v="0"/>
    <x v="0"/>
    <x v="17"/>
    <n v="4.4000000000000004"/>
    <x v="0"/>
    <x v="0"/>
    <x v="1"/>
    <x v="20"/>
    <x v="1"/>
    <n v="7"/>
    <s v="Sever"/>
    <x v="0"/>
    <n v="5"/>
    <x v="5"/>
  </r>
  <r>
    <n v="590"/>
    <x v="5"/>
    <x v="1"/>
    <x v="1"/>
    <x v="2"/>
    <x v="24"/>
    <n v="5.7"/>
    <x v="0"/>
    <x v="11"/>
    <x v="0"/>
    <x v="10"/>
    <x v="0"/>
    <n v="6"/>
    <s v="Moderate"/>
    <x v="2"/>
    <n v="7"/>
    <x v="0"/>
  </r>
  <r>
    <n v="591"/>
    <x v="0"/>
    <x v="0"/>
    <x v="0"/>
    <x v="0"/>
    <x v="109"/>
    <n v="7"/>
    <x v="1"/>
    <x v="0"/>
    <x v="0"/>
    <x v="7"/>
    <x v="0"/>
    <n v="4"/>
    <s v="Mild"/>
    <x v="2"/>
    <n v="9"/>
    <x v="0"/>
  </r>
  <r>
    <n v="592"/>
    <x v="4"/>
    <x v="1"/>
    <x v="1"/>
    <x v="2"/>
    <x v="20"/>
    <n v="4.3"/>
    <x v="0"/>
    <x v="3"/>
    <x v="1"/>
    <x v="28"/>
    <x v="1"/>
    <n v="7"/>
    <s v="Sever"/>
    <x v="0"/>
    <n v="5"/>
    <x v="5"/>
  </r>
  <r>
    <n v="593"/>
    <x v="3"/>
    <x v="1"/>
    <x v="0"/>
    <x v="0"/>
    <x v="34"/>
    <n v="6.9"/>
    <x v="1"/>
    <x v="1"/>
    <x v="0"/>
    <x v="27"/>
    <x v="0"/>
    <n v="5"/>
    <s v="Moderate"/>
    <x v="2"/>
    <n v="8"/>
    <x v="0"/>
  </r>
  <r>
    <n v="594"/>
    <x v="6"/>
    <x v="1"/>
    <x v="1"/>
    <x v="2"/>
    <x v="1"/>
    <n v="5.6"/>
    <x v="0"/>
    <x v="0"/>
    <x v="0"/>
    <x v="17"/>
    <x v="0"/>
    <n v="6"/>
    <s v="Moderate"/>
    <x v="0"/>
    <n v="7"/>
    <x v="0"/>
  </r>
  <r>
    <n v="595"/>
    <x v="1"/>
    <x v="1"/>
    <x v="0"/>
    <x v="0"/>
    <x v="12"/>
    <n v="6.2"/>
    <x v="1"/>
    <x v="3"/>
    <x v="0"/>
    <x v="26"/>
    <x v="0"/>
    <n v="5"/>
    <s v="Moderate"/>
    <x v="2"/>
    <n v="8"/>
    <x v="0"/>
  </r>
  <r>
    <n v="596"/>
    <x v="3"/>
    <x v="1"/>
    <x v="1"/>
    <x v="0"/>
    <x v="9"/>
    <n v="5.8"/>
    <x v="0"/>
    <x v="0"/>
    <x v="0"/>
    <x v="13"/>
    <x v="0"/>
    <n v="6"/>
    <s v="Moderate"/>
    <x v="2"/>
    <n v="7"/>
    <x v="0"/>
  </r>
  <r>
    <n v="597"/>
    <x v="4"/>
    <x v="1"/>
    <x v="0"/>
    <x v="2"/>
    <x v="3"/>
    <n v="4.9000000000000004"/>
    <x v="0"/>
    <x v="1"/>
    <x v="1"/>
    <x v="15"/>
    <x v="1"/>
    <n v="7"/>
    <s v="Sever"/>
    <x v="0"/>
    <n v="5"/>
    <x v="2"/>
  </r>
  <r>
    <n v="598"/>
    <x v="1"/>
    <x v="1"/>
    <x v="1"/>
    <x v="0"/>
    <x v="2"/>
    <n v="6.4"/>
    <x v="1"/>
    <x v="3"/>
    <x v="0"/>
    <x v="6"/>
    <x v="0"/>
    <n v="5"/>
    <s v="Moderate"/>
    <x v="2"/>
    <n v="8"/>
    <x v="0"/>
  </r>
  <r>
    <n v="599"/>
    <x v="5"/>
    <x v="1"/>
    <x v="0"/>
    <x v="2"/>
    <x v="11"/>
    <n v="5.0999999999999996"/>
    <x v="0"/>
    <x v="11"/>
    <x v="1"/>
    <x v="23"/>
    <x v="1"/>
    <n v="7"/>
    <s v="Sever"/>
    <x v="0"/>
    <n v="5"/>
    <x v="5"/>
  </r>
  <r>
    <n v="600"/>
    <x v="0"/>
    <x v="0"/>
    <x v="1"/>
    <x v="0"/>
    <x v="13"/>
    <n v="6.7"/>
    <x v="1"/>
    <x v="0"/>
    <x v="0"/>
    <x v="3"/>
    <x v="0"/>
    <n v="4"/>
    <s v="Mild"/>
    <x v="2"/>
    <n v="8"/>
    <x v="0"/>
  </r>
  <r>
    <n v="601"/>
    <x v="6"/>
    <x v="1"/>
    <x v="0"/>
    <x v="2"/>
    <x v="14"/>
    <n v="5.5"/>
    <x v="0"/>
    <x v="10"/>
    <x v="0"/>
    <x v="10"/>
    <x v="0"/>
    <n v="6"/>
    <s v="Moderate"/>
    <x v="0"/>
    <m/>
    <x v="6"/>
  </r>
  <r>
    <n v="602"/>
    <x v="3"/>
    <x v="1"/>
    <x v="1"/>
    <x v="0"/>
    <x v="7"/>
    <n v="4.3"/>
    <x v="0"/>
    <x v="11"/>
    <x v="1"/>
    <x v="29"/>
    <x v="1"/>
    <n v="8"/>
    <s v="Sever"/>
    <x v="2"/>
    <n v="4"/>
    <x v="2"/>
  </r>
  <r>
    <n v="603"/>
    <x v="4"/>
    <x v="1"/>
    <x v="0"/>
    <x v="2"/>
    <x v="59"/>
    <n v="6.2"/>
    <x v="1"/>
    <x v="0"/>
    <x v="0"/>
    <x v="25"/>
    <x v="0"/>
    <n v="5"/>
    <s v="Moderate"/>
    <x v="2"/>
    <n v="8"/>
    <x v="0"/>
  </r>
  <r>
    <n v="604"/>
    <x v="1"/>
    <x v="1"/>
    <x v="1"/>
    <x v="0"/>
    <x v="58"/>
    <n v="4.5"/>
    <x v="0"/>
    <x v="3"/>
    <x v="1"/>
    <x v="20"/>
    <x v="1"/>
    <n v="7"/>
    <s v="Sever"/>
    <x v="0"/>
    <n v="5"/>
    <x v="5"/>
  </r>
  <r>
    <n v="605"/>
    <x v="5"/>
    <x v="1"/>
    <x v="0"/>
    <x v="2"/>
    <x v="10"/>
    <n v="6.3"/>
    <x v="1"/>
    <x v="1"/>
    <x v="0"/>
    <x v="26"/>
    <x v="0"/>
    <n v="5"/>
    <s v="Moderate"/>
    <x v="2"/>
    <n v="8"/>
    <x v="0"/>
  </r>
  <r>
    <n v="606"/>
    <x v="0"/>
    <x v="0"/>
    <x v="1"/>
    <x v="0"/>
    <x v="17"/>
    <n v="4.7"/>
    <x v="0"/>
    <x v="0"/>
    <x v="1"/>
    <x v="8"/>
    <x v="1"/>
    <n v="7"/>
    <s v="Sever"/>
    <x v="0"/>
    <n v="5"/>
    <x v="5"/>
  </r>
  <r>
    <n v="607"/>
    <x v="6"/>
    <x v="1"/>
    <x v="0"/>
    <x v="2"/>
    <x v="24"/>
    <n v="5.9"/>
    <x v="0"/>
    <x v="11"/>
    <x v="0"/>
    <x v="19"/>
    <x v="0"/>
    <n v="6"/>
    <s v="Moderate"/>
    <x v="2"/>
    <n v="7"/>
    <x v="0"/>
  </r>
  <r>
    <n v="608"/>
    <x v="3"/>
    <x v="1"/>
    <x v="1"/>
    <x v="0"/>
    <x v="109"/>
    <n v="7.1"/>
    <x v="1"/>
    <x v="3"/>
    <x v="0"/>
    <x v="12"/>
    <x v="0"/>
    <n v="4"/>
    <s v="Mild"/>
    <x v="2"/>
    <n v="9"/>
    <x v="0"/>
  </r>
  <r>
    <n v="609"/>
    <x v="4"/>
    <x v="1"/>
    <x v="0"/>
    <x v="2"/>
    <x v="20"/>
    <n v="4.4000000000000004"/>
    <x v="0"/>
    <x v="0"/>
    <x v="1"/>
    <x v="20"/>
    <x v="1"/>
    <n v="7"/>
    <s v="Sever"/>
    <x v="0"/>
    <n v="5"/>
    <x v="5"/>
  </r>
  <r>
    <n v="610"/>
    <x v="1"/>
    <x v="1"/>
    <x v="1"/>
    <x v="0"/>
    <x v="34"/>
    <n v="6.6"/>
    <x v="1"/>
    <x v="1"/>
    <x v="0"/>
    <x v="6"/>
    <x v="0"/>
    <n v="5"/>
    <s v="Moderate"/>
    <x v="2"/>
    <n v="8"/>
    <x v="0"/>
  </r>
  <r>
    <n v="611"/>
    <x v="5"/>
    <x v="1"/>
    <x v="0"/>
    <x v="2"/>
    <x v="1"/>
    <n v="5.4"/>
    <x v="0"/>
    <x v="0"/>
    <x v="0"/>
    <x v="17"/>
    <x v="0"/>
    <n v="6"/>
    <s v="Moderate"/>
    <x v="0"/>
    <n v="7"/>
    <x v="0"/>
  </r>
  <r>
    <n v="612"/>
    <x v="0"/>
    <x v="0"/>
    <x v="1"/>
    <x v="0"/>
    <x v="12"/>
    <n v="6.5"/>
    <x v="1"/>
    <x v="3"/>
    <x v="0"/>
    <x v="27"/>
    <x v="0"/>
    <n v="5"/>
    <s v="Moderate"/>
    <x v="2"/>
    <n v="8"/>
    <x v="0"/>
  </r>
  <r>
    <n v="613"/>
    <x v="6"/>
    <x v="1"/>
    <x v="0"/>
    <x v="2"/>
    <x v="9"/>
    <n v="4.8"/>
    <x v="0"/>
    <x v="11"/>
    <x v="1"/>
    <x v="15"/>
    <x v="1"/>
    <n v="7"/>
    <s v="Sever"/>
    <x v="0"/>
    <n v="5"/>
    <x v="2"/>
  </r>
  <r>
    <n v="614"/>
    <x v="3"/>
    <x v="1"/>
    <x v="1"/>
    <x v="0"/>
    <x v="3"/>
    <n v="5.7"/>
    <x v="0"/>
    <x v="0"/>
    <x v="0"/>
    <x v="13"/>
    <x v="0"/>
    <n v="6"/>
    <s v="Moderate"/>
    <x v="2"/>
    <n v="7"/>
    <x v="0"/>
  </r>
  <r>
    <n v="615"/>
    <x v="4"/>
    <x v="1"/>
    <x v="0"/>
    <x v="2"/>
    <x v="2"/>
    <n v="6.1"/>
    <x v="1"/>
    <x v="1"/>
    <x v="0"/>
    <x v="25"/>
    <x v="0"/>
    <n v="5"/>
    <s v="Moderate"/>
    <x v="2"/>
    <n v="8"/>
    <x v="0"/>
  </r>
  <r>
    <n v="616"/>
    <x v="1"/>
    <x v="1"/>
    <x v="1"/>
    <x v="0"/>
    <x v="11"/>
    <n v="4.5999999999999996"/>
    <x v="0"/>
    <x v="3"/>
    <x v="1"/>
    <x v="8"/>
    <x v="1"/>
    <n v="7"/>
    <s v="Sever"/>
    <x v="0"/>
    <n v="5"/>
    <x v="5"/>
  </r>
  <r>
    <n v="617"/>
    <x v="5"/>
    <x v="1"/>
    <x v="0"/>
    <x v="2"/>
    <x v="13"/>
    <n v="6.8"/>
    <x v="1"/>
    <x v="0"/>
    <x v="0"/>
    <x v="14"/>
    <x v="0"/>
    <n v="4"/>
    <s v="Mild"/>
    <x v="2"/>
    <n v="9"/>
    <x v="0"/>
  </r>
  <r>
    <n v="618"/>
    <x v="0"/>
    <x v="0"/>
    <x v="1"/>
    <x v="0"/>
    <x v="14"/>
    <n v="5.6"/>
    <x v="0"/>
    <x v="10"/>
    <x v="0"/>
    <x v="10"/>
    <x v="0"/>
    <n v="6"/>
    <s v="Moderate"/>
    <x v="0"/>
    <m/>
    <x v="6"/>
  </r>
  <r>
    <n v="619"/>
    <x v="6"/>
    <x v="1"/>
    <x v="0"/>
    <x v="2"/>
    <x v="7"/>
    <n v="4.2"/>
    <x v="0"/>
    <x v="11"/>
    <x v="1"/>
    <x v="28"/>
    <x v="1"/>
    <n v="8"/>
    <s v="Sever"/>
    <x v="2"/>
    <n v="4"/>
    <x v="2"/>
  </r>
  <r>
    <n v="620"/>
    <x v="3"/>
    <x v="1"/>
    <x v="1"/>
    <x v="0"/>
    <x v="59"/>
    <n v="6.3"/>
    <x v="1"/>
    <x v="1"/>
    <x v="0"/>
    <x v="26"/>
    <x v="0"/>
    <n v="5"/>
    <s v="Moderate"/>
    <x v="2"/>
    <n v="8"/>
    <x v="0"/>
  </r>
  <r>
    <n v="621"/>
    <x v="4"/>
    <x v="1"/>
    <x v="0"/>
    <x v="2"/>
    <x v="58"/>
    <n v="4.4000000000000004"/>
    <x v="0"/>
    <x v="0"/>
    <x v="1"/>
    <x v="20"/>
    <x v="1"/>
    <n v="7"/>
    <s v="Sever"/>
    <x v="0"/>
    <n v="5"/>
    <x v="5"/>
  </r>
  <r>
    <n v="622"/>
    <x v="1"/>
    <x v="1"/>
    <x v="1"/>
    <x v="0"/>
    <x v="10"/>
    <n v="6.5"/>
    <x v="1"/>
    <x v="3"/>
    <x v="0"/>
    <x v="6"/>
    <x v="0"/>
    <n v="5"/>
    <s v="Moderate"/>
    <x v="2"/>
    <n v="8"/>
    <x v="0"/>
  </r>
  <r>
    <n v="623"/>
    <x v="5"/>
    <x v="1"/>
    <x v="0"/>
    <x v="2"/>
    <x v="17"/>
    <n v="4.5999999999999996"/>
    <x v="0"/>
    <x v="11"/>
    <x v="1"/>
    <x v="15"/>
    <x v="1"/>
    <n v="7"/>
    <s v="Sever"/>
    <x v="0"/>
    <n v="5"/>
    <x v="5"/>
  </r>
  <r>
    <n v="624"/>
    <x v="0"/>
    <x v="0"/>
    <x v="1"/>
    <x v="0"/>
    <x v="24"/>
    <n v="5.8"/>
    <x v="0"/>
    <x v="0"/>
    <x v="0"/>
    <x v="19"/>
    <x v="0"/>
    <n v="6"/>
    <s v="Moderate"/>
    <x v="2"/>
    <n v="7"/>
    <x v="0"/>
  </r>
  <r>
    <n v="625"/>
    <x v="6"/>
    <x v="1"/>
    <x v="0"/>
    <x v="2"/>
    <x v="109"/>
    <n v="7"/>
    <x v="1"/>
    <x v="1"/>
    <x v="0"/>
    <x v="7"/>
    <x v="0"/>
    <n v="4"/>
    <s v="Mild"/>
    <x v="2"/>
    <n v="9"/>
    <x v="0"/>
  </r>
  <r>
    <n v="626"/>
    <x v="3"/>
    <x v="1"/>
    <x v="1"/>
    <x v="0"/>
    <x v="20"/>
    <n v="4.5"/>
    <x v="0"/>
    <x v="3"/>
    <x v="1"/>
    <x v="15"/>
    <x v="1"/>
    <n v="7"/>
    <s v="Sever"/>
    <x v="0"/>
    <n v="5"/>
    <x v="5"/>
  </r>
  <r>
    <n v="627"/>
    <x v="4"/>
    <x v="1"/>
    <x v="0"/>
    <x v="2"/>
    <x v="34"/>
    <n v="6.7"/>
    <x v="1"/>
    <x v="0"/>
    <x v="0"/>
    <x v="27"/>
    <x v="0"/>
    <n v="5"/>
    <s v="Moderate"/>
    <x v="2"/>
    <n v="8"/>
    <x v="0"/>
  </r>
  <r>
    <n v="628"/>
    <x v="1"/>
    <x v="1"/>
    <x v="1"/>
    <x v="0"/>
    <x v="1"/>
    <n v="5.5"/>
    <x v="0"/>
    <x v="11"/>
    <x v="0"/>
    <x v="10"/>
    <x v="0"/>
    <n v="6"/>
    <s v="Moderate"/>
    <x v="0"/>
    <n v="7"/>
    <x v="0"/>
  </r>
  <r>
    <n v="629"/>
    <x v="5"/>
    <x v="1"/>
    <x v="0"/>
    <x v="2"/>
    <x v="12"/>
    <n v="6.4"/>
    <x v="1"/>
    <x v="3"/>
    <x v="0"/>
    <x v="6"/>
    <x v="0"/>
    <n v="5"/>
    <s v="Moderate"/>
    <x v="2"/>
    <n v="8"/>
    <x v="0"/>
  </r>
  <r>
    <n v="630"/>
    <x v="0"/>
    <x v="0"/>
    <x v="1"/>
    <x v="0"/>
    <x v="9"/>
    <n v="4.7"/>
    <x v="0"/>
    <x v="0"/>
    <x v="1"/>
    <x v="8"/>
    <x v="1"/>
    <n v="7"/>
    <s v="Sever"/>
    <x v="0"/>
    <n v="5"/>
    <x v="2"/>
  </r>
  <r>
    <n v="631"/>
    <x v="6"/>
    <x v="1"/>
    <x v="0"/>
    <x v="2"/>
    <x v="3"/>
    <n v="5.6"/>
    <x v="0"/>
    <x v="1"/>
    <x v="0"/>
    <x v="13"/>
    <x v="0"/>
    <n v="6"/>
    <s v="Moderate"/>
    <x v="2"/>
    <n v="7"/>
    <x v="0"/>
  </r>
  <r>
    <n v="632"/>
    <x v="3"/>
    <x v="1"/>
    <x v="1"/>
    <x v="0"/>
    <x v="2"/>
    <n v="6.2"/>
    <x v="1"/>
    <x v="3"/>
    <x v="0"/>
    <x v="26"/>
    <x v="0"/>
    <n v="5"/>
    <s v="Moderate"/>
    <x v="2"/>
    <n v="8"/>
    <x v="0"/>
  </r>
  <r>
    <n v="633"/>
    <x v="4"/>
    <x v="1"/>
    <x v="0"/>
    <x v="2"/>
    <x v="11"/>
    <n v="4.8"/>
    <x v="0"/>
    <x v="11"/>
    <x v="1"/>
    <x v="23"/>
    <x v="1"/>
    <n v="7"/>
    <s v="Sever"/>
    <x v="0"/>
    <n v="5"/>
    <x v="5"/>
  </r>
  <r>
    <n v="634"/>
    <x v="1"/>
    <x v="1"/>
    <x v="1"/>
    <x v="0"/>
    <x v="13"/>
    <n v="6.9"/>
    <x v="1"/>
    <x v="0"/>
    <x v="0"/>
    <x v="14"/>
    <x v="0"/>
    <n v="4"/>
    <s v="Mild"/>
    <x v="2"/>
    <n v="9"/>
    <x v="0"/>
  </r>
  <r>
    <n v="635"/>
    <x v="5"/>
    <x v="1"/>
    <x v="0"/>
    <x v="2"/>
    <x v="14"/>
    <n v="5.7"/>
    <x v="0"/>
    <x v="10"/>
    <x v="0"/>
    <x v="13"/>
    <x v="0"/>
    <n v="6"/>
    <s v="Moderate"/>
    <x v="0"/>
    <m/>
    <x v="6"/>
  </r>
  <r>
    <n v="636"/>
    <x v="0"/>
    <x v="0"/>
    <x v="1"/>
    <x v="0"/>
    <x v="7"/>
    <n v="4.4000000000000004"/>
    <x v="0"/>
    <x v="11"/>
    <x v="1"/>
    <x v="20"/>
    <x v="1"/>
    <n v="8"/>
    <s v="Sever"/>
    <x v="2"/>
    <n v="4"/>
    <x v="2"/>
  </r>
  <r>
    <n v="637"/>
    <x v="6"/>
    <x v="1"/>
    <x v="0"/>
    <x v="2"/>
    <x v="59"/>
    <n v="6.1"/>
    <x v="1"/>
    <x v="1"/>
    <x v="0"/>
    <x v="25"/>
    <x v="0"/>
    <n v="5"/>
    <s v="Moderate"/>
    <x v="2"/>
    <n v="8"/>
    <x v="0"/>
  </r>
  <r>
    <n v="638"/>
    <x v="3"/>
    <x v="1"/>
    <x v="1"/>
    <x v="0"/>
    <x v="58"/>
    <n v="4.3"/>
    <x v="0"/>
    <x v="0"/>
    <x v="1"/>
    <x v="28"/>
    <x v="1"/>
    <n v="7"/>
    <s v="Sever"/>
    <x v="0"/>
    <n v="5"/>
    <x v="5"/>
  </r>
  <r>
    <n v="639"/>
    <x v="4"/>
    <x v="1"/>
    <x v="0"/>
    <x v="2"/>
    <x v="10"/>
    <n v="6.4"/>
    <x v="1"/>
    <x v="3"/>
    <x v="0"/>
    <x v="6"/>
    <x v="0"/>
    <n v="5"/>
    <s v="Moderate"/>
    <x v="2"/>
    <n v="8"/>
    <x v="0"/>
  </r>
  <r>
    <n v="640"/>
    <x v="1"/>
    <x v="1"/>
    <x v="1"/>
    <x v="0"/>
    <x v="17"/>
    <n v="4.5"/>
    <x v="0"/>
    <x v="11"/>
    <x v="1"/>
    <x v="15"/>
    <x v="1"/>
    <n v="7"/>
    <s v="Sever"/>
    <x v="0"/>
    <n v="5"/>
    <x v="5"/>
  </r>
  <r>
    <n v="641"/>
    <x v="5"/>
    <x v="1"/>
    <x v="0"/>
    <x v="2"/>
    <x v="24"/>
    <n v="5.9"/>
    <x v="0"/>
    <x v="0"/>
    <x v="0"/>
    <x v="0"/>
    <x v="0"/>
    <n v="6"/>
    <s v="Moderate"/>
    <x v="2"/>
    <n v="7"/>
    <x v="0"/>
  </r>
  <r>
    <n v="642"/>
    <x v="0"/>
    <x v="0"/>
    <x v="1"/>
    <x v="0"/>
    <x v="109"/>
    <n v="7.2"/>
    <x v="1"/>
    <x v="1"/>
    <x v="0"/>
    <x v="12"/>
    <x v="0"/>
    <n v="4"/>
    <s v="Mild"/>
    <x v="2"/>
    <n v="9"/>
    <x v="0"/>
  </r>
  <r>
    <n v="643"/>
    <x v="6"/>
    <x v="1"/>
    <x v="0"/>
    <x v="2"/>
    <x v="20"/>
    <n v="4.5999999999999996"/>
    <x v="0"/>
    <x v="3"/>
    <x v="1"/>
    <x v="8"/>
    <x v="1"/>
    <n v="7"/>
    <s v="Sever"/>
    <x v="0"/>
    <n v="5"/>
    <x v="5"/>
  </r>
  <r>
    <n v="644"/>
    <x v="3"/>
    <x v="1"/>
    <x v="1"/>
    <x v="0"/>
    <x v="34"/>
    <n v="6.8"/>
    <x v="1"/>
    <x v="0"/>
    <x v="0"/>
    <x v="3"/>
    <x v="0"/>
    <n v="5"/>
    <s v="Moderate"/>
    <x v="2"/>
    <n v="8"/>
    <x v="0"/>
  </r>
  <r>
    <n v="645"/>
    <x v="4"/>
    <x v="1"/>
    <x v="0"/>
    <x v="2"/>
    <x v="1"/>
    <n v="5.3"/>
    <x v="0"/>
    <x v="11"/>
    <x v="0"/>
    <x v="10"/>
    <x v="0"/>
    <n v="6"/>
    <s v="Moderate"/>
    <x v="0"/>
    <n v="7"/>
    <x v="0"/>
  </r>
  <r>
    <n v="646"/>
    <x v="5"/>
    <x v="1"/>
    <x v="1"/>
    <x v="2"/>
    <x v="12"/>
    <n v="6.3"/>
    <x v="1"/>
    <x v="3"/>
    <x v="0"/>
    <x v="6"/>
    <x v="0"/>
    <n v="5"/>
    <s v="Moderate"/>
    <x v="2"/>
    <n v="8"/>
    <x v="0"/>
  </r>
  <r>
    <n v="647"/>
    <x v="1"/>
    <x v="1"/>
    <x v="0"/>
    <x v="0"/>
    <x v="9"/>
    <n v="4.8"/>
    <x v="0"/>
    <x v="0"/>
    <x v="1"/>
    <x v="23"/>
    <x v="1"/>
    <n v="7"/>
    <s v="Sever"/>
    <x v="0"/>
    <n v="5"/>
    <x v="2"/>
  </r>
  <r>
    <n v="648"/>
    <x v="4"/>
    <x v="1"/>
    <x v="1"/>
    <x v="2"/>
    <x v="3"/>
    <n v="5.7"/>
    <x v="0"/>
    <x v="1"/>
    <x v="0"/>
    <x v="19"/>
    <x v="0"/>
    <n v="6"/>
    <s v="Moderate"/>
    <x v="2"/>
    <n v="7"/>
    <x v="0"/>
  </r>
  <r>
    <n v="649"/>
    <x v="3"/>
    <x v="1"/>
    <x v="0"/>
    <x v="0"/>
    <x v="2"/>
    <n v="6.2"/>
    <x v="1"/>
    <x v="11"/>
    <x v="0"/>
    <x v="26"/>
    <x v="0"/>
    <n v="5"/>
    <s v="Moderate"/>
    <x v="2"/>
    <n v="8"/>
    <x v="0"/>
  </r>
  <r>
    <n v="650"/>
    <x v="6"/>
    <x v="1"/>
    <x v="1"/>
    <x v="2"/>
    <x v="11"/>
    <n v="4.7"/>
    <x v="0"/>
    <x v="3"/>
    <x v="1"/>
    <x v="8"/>
    <x v="1"/>
    <n v="7"/>
    <s v="Sever"/>
    <x v="0"/>
    <n v="5"/>
    <x v="5"/>
  </r>
  <r>
    <n v="651"/>
    <x v="0"/>
    <x v="0"/>
    <x v="0"/>
    <x v="0"/>
    <x v="13"/>
    <n v="6.8"/>
    <x v="1"/>
    <x v="0"/>
    <x v="0"/>
    <x v="14"/>
    <x v="0"/>
    <n v="4"/>
    <s v="Mild"/>
    <x v="2"/>
    <n v="9"/>
    <x v="0"/>
  </r>
  <r>
    <n v="652"/>
    <x v="5"/>
    <x v="1"/>
    <x v="1"/>
    <x v="2"/>
    <x v="14"/>
    <n v="5.6"/>
    <x v="0"/>
    <x v="10"/>
    <x v="0"/>
    <x v="13"/>
    <x v="0"/>
    <n v="6"/>
    <s v="Moderate"/>
    <x v="0"/>
    <m/>
    <x v="6"/>
  </r>
  <r>
    <n v="653"/>
    <x v="1"/>
    <x v="1"/>
    <x v="0"/>
    <x v="0"/>
    <x v="7"/>
    <n v="4.3"/>
    <x v="0"/>
    <x v="11"/>
    <x v="1"/>
    <x v="28"/>
    <x v="1"/>
    <n v="8"/>
    <s v="Sever"/>
    <x v="2"/>
    <n v="4"/>
    <x v="2"/>
  </r>
  <r>
    <n v="654"/>
    <x v="4"/>
    <x v="1"/>
    <x v="1"/>
    <x v="2"/>
    <x v="59"/>
    <n v="6.2"/>
    <x v="1"/>
    <x v="1"/>
    <x v="0"/>
    <x v="26"/>
    <x v="0"/>
    <n v="5"/>
    <s v="Moderate"/>
    <x v="2"/>
    <n v="8"/>
    <x v="0"/>
  </r>
  <r>
    <n v="655"/>
    <x v="3"/>
    <x v="1"/>
    <x v="0"/>
    <x v="0"/>
    <x v="58"/>
    <n v="4.4000000000000004"/>
    <x v="0"/>
    <x v="0"/>
    <x v="1"/>
    <x v="20"/>
    <x v="1"/>
    <n v="7"/>
    <s v="Sever"/>
    <x v="0"/>
    <n v="5"/>
    <x v="5"/>
  </r>
  <r>
    <n v="656"/>
    <x v="6"/>
    <x v="1"/>
    <x v="1"/>
    <x v="2"/>
    <x v="10"/>
    <n v="6.5"/>
    <x v="1"/>
    <x v="3"/>
    <x v="0"/>
    <x v="27"/>
    <x v="0"/>
    <n v="5"/>
    <s v="Moderate"/>
    <x v="2"/>
    <n v="8"/>
    <x v="0"/>
  </r>
  <r>
    <n v="657"/>
    <x v="0"/>
    <x v="0"/>
    <x v="0"/>
    <x v="0"/>
    <x v="17"/>
    <n v="4.5999999999999996"/>
    <x v="0"/>
    <x v="11"/>
    <x v="1"/>
    <x v="15"/>
    <x v="1"/>
    <n v="7"/>
    <s v="Sever"/>
    <x v="0"/>
    <n v="5"/>
    <x v="5"/>
  </r>
  <r>
    <n v="658"/>
    <x v="5"/>
    <x v="1"/>
    <x v="1"/>
    <x v="2"/>
    <x v="24"/>
    <n v="5.8"/>
    <x v="0"/>
    <x v="0"/>
    <x v="0"/>
    <x v="19"/>
    <x v="0"/>
    <n v="6"/>
    <s v="Moderate"/>
    <x v="2"/>
    <n v="7"/>
    <x v="0"/>
  </r>
  <r>
    <n v="659"/>
    <x v="1"/>
    <x v="1"/>
    <x v="0"/>
    <x v="0"/>
    <x v="109"/>
    <n v="7.1"/>
    <x v="1"/>
    <x v="1"/>
    <x v="0"/>
    <x v="7"/>
    <x v="0"/>
    <n v="4"/>
    <s v="Mild"/>
    <x v="2"/>
    <n v="9"/>
    <x v="0"/>
  </r>
  <r>
    <n v="660"/>
    <x v="4"/>
    <x v="1"/>
    <x v="1"/>
    <x v="2"/>
    <x v="20"/>
    <n v="4.5"/>
    <x v="0"/>
    <x v="3"/>
    <x v="1"/>
    <x v="15"/>
    <x v="1"/>
    <n v="7"/>
    <s v="Sever"/>
    <x v="0"/>
    <n v="5"/>
    <x v="5"/>
  </r>
  <r>
    <n v="661"/>
    <x v="3"/>
    <x v="1"/>
    <x v="0"/>
    <x v="0"/>
    <x v="34"/>
    <n v="6.7"/>
    <x v="1"/>
    <x v="0"/>
    <x v="0"/>
    <x v="3"/>
    <x v="0"/>
    <n v="5"/>
    <s v="Moderate"/>
    <x v="2"/>
    <n v="8"/>
    <x v="0"/>
  </r>
  <r>
    <n v="662"/>
    <x v="6"/>
    <x v="1"/>
    <x v="1"/>
    <x v="2"/>
    <x v="1"/>
    <n v="5.4"/>
    <x v="0"/>
    <x v="11"/>
    <x v="0"/>
    <x v="10"/>
    <x v="0"/>
    <n v="6"/>
    <s v="Moderate"/>
    <x v="0"/>
    <n v="7"/>
    <x v="0"/>
  </r>
  <r>
    <n v="663"/>
    <x v="0"/>
    <x v="0"/>
    <x v="0"/>
    <x v="0"/>
    <x v="12"/>
    <n v="6.4"/>
    <x v="1"/>
    <x v="1"/>
    <x v="0"/>
    <x v="6"/>
    <x v="0"/>
    <n v="5"/>
    <s v="Moderate"/>
    <x v="2"/>
    <n v="8"/>
    <x v="0"/>
  </r>
  <r>
    <n v="664"/>
    <x v="5"/>
    <x v="1"/>
    <x v="1"/>
    <x v="2"/>
    <x v="9"/>
    <n v="4.7"/>
    <x v="0"/>
    <x v="3"/>
    <x v="1"/>
    <x v="8"/>
    <x v="1"/>
    <n v="7"/>
    <s v="Sever"/>
    <x v="0"/>
    <n v="5"/>
    <x v="2"/>
  </r>
  <r>
    <n v="665"/>
    <x v="1"/>
    <x v="1"/>
    <x v="0"/>
    <x v="0"/>
    <x v="3"/>
    <n v="5.6"/>
    <x v="0"/>
    <x v="0"/>
    <x v="0"/>
    <x v="13"/>
    <x v="0"/>
    <n v="6"/>
    <s v="Moderate"/>
    <x v="2"/>
    <n v="7"/>
    <x v="0"/>
  </r>
  <r>
    <n v="666"/>
    <x v="4"/>
    <x v="1"/>
    <x v="1"/>
    <x v="2"/>
    <x v="2"/>
    <n v="6.3"/>
    <x v="1"/>
    <x v="11"/>
    <x v="0"/>
    <x v="6"/>
    <x v="0"/>
    <n v="5"/>
    <s v="Moderate"/>
    <x v="2"/>
    <n v="8"/>
    <x v="0"/>
  </r>
  <r>
    <n v="667"/>
    <x v="3"/>
    <x v="1"/>
    <x v="0"/>
    <x v="0"/>
    <x v="11"/>
    <n v="4.8"/>
    <x v="0"/>
    <x v="1"/>
    <x v="1"/>
    <x v="23"/>
    <x v="1"/>
    <n v="7"/>
    <s v="Sever"/>
    <x v="0"/>
    <n v="5"/>
    <x v="5"/>
  </r>
  <r>
    <n v="668"/>
    <x v="6"/>
    <x v="1"/>
    <x v="1"/>
    <x v="2"/>
    <x v="13"/>
    <n v="6.9"/>
    <x v="1"/>
    <x v="0"/>
    <x v="0"/>
    <x v="14"/>
    <x v="0"/>
    <n v="4"/>
    <s v="Mild"/>
    <x v="2"/>
    <n v="9"/>
    <x v="0"/>
  </r>
  <r>
    <n v="669"/>
    <x v="0"/>
    <x v="0"/>
    <x v="0"/>
    <x v="0"/>
    <x v="14"/>
    <n v="5.7"/>
    <x v="0"/>
    <x v="10"/>
    <x v="0"/>
    <x v="13"/>
    <x v="0"/>
    <n v="6"/>
    <s v="Moderate"/>
    <x v="0"/>
    <m/>
    <x v="6"/>
  </r>
  <r>
    <n v="670"/>
    <x v="5"/>
    <x v="1"/>
    <x v="1"/>
    <x v="2"/>
    <x v="7"/>
    <n v="4.4000000000000004"/>
    <x v="0"/>
    <x v="11"/>
    <x v="1"/>
    <x v="20"/>
    <x v="1"/>
    <n v="8"/>
    <s v="Sever"/>
    <x v="2"/>
    <n v="4"/>
    <x v="2"/>
  </r>
  <r>
    <n v="671"/>
    <x v="1"/>
    <x v="1"/>
    <x v="0"/>
    <x v="0"/>
    <x v="59"/>
    <n v="6.1"/>
    <x v="1"/>
    <x v="3"/>
    <x v="0"/>
    <x v="25"/>
    <x v="0"/>
    <n v="5"/>
    <s v="Moderate"/>
    <x v="2"/>
    <n v="8"/>
    <x v="0"/>
  </r>
  <r>
    <n v="672"/>
    <x v="4"/>
    <x v="1"/>
    <x v="1"/>
    <x v="2"/>
    <x v="58"/>
    <n v="4.3"/>
    <x v="0"/>
    <x v="0"/>
    <x v="1"/>
    <x v="28"/>
    <x v="1"/>
    <n v="7"/>
    <s v="Sever"/>
    <x v="0"/>
    <n v="5"/>
    <x v="5"/>
  </r>
  <r>
    <n v="673"/>
    <x v="3"/>
    <x v="1"/>
    <x v="0"/>
    <x v="0"/>
    <x v="10"/>
    <n v="6.4"/>
    <x v="1"/>
    <x v="1"/>
    <x v="0"/>
    <x v="6"/>
    <x v="0"/>
    <n v="5"/>
    <s v="Moderate"/>
    <x v="2"/>
    <n v="8"/>
    <x v="0"/>
  </r>
  <r>
    <n v="674"/>
    <x v="6"/>
    <x v="1"/>
    <x v="1"/>
    <x v="2"/>
    <x v="17"/>
    <n v="4.5"/>
    <x v="0"/>
    <x v="11"/>
    <x v="1"/>
    <x v="15"/>
    <x v="1"/>
    <n v="7"/>
    <s v="Sever"/>
    <x v="0"/>
    <n v="5"/>
    <x v="5"/>
  </r>
  <r>
    <n v="675"/>
    <x v="0"/>
    <x v="0"/>
    <x v="0"/>
    <x v="0"/>
    <x v="24"/>
    <n v="5.9"/>
    <x v="0"/>
    <x v="0"/>
    <x v="0"/>
    <x v="0"/>
    <x v="0"/>
    <n v="6"/>
    <s v="Moderate"/>
    <x v="2"/>
    <n v="7"/>
    <x v="0"/>
  </r>
  <r>
    <n v="676"/>
    <x v="5"/>
    <x v="1"/>
    <x v="1"/>
    <x v="2"/>
    <x v="109"/>
    <n v="7.2"/>
    <x v="1"/>
    <x v="3"/>
    <x v="0"/>
    <x v="12"/>
    <x v="0"/>
    <n v="4"/>
    <s v="Mild"/>
    <x v="2"/>
    <n v="9"/>
    <x v="0"/>
  </r>
  <r>
    <n v="677"/>
    <x v="1"/>
    <x v="1"/>
    <x v="0"/>
    <x v="0"/>
    <x v="20"/>
    <n v="4.5999999999999996"/>
    <x v="0"/>
    <x v="1"/>
    <x v="1"/>
    <x v="8"/>
    <x v="1"/>
    <n v="7"/>
    <s v="Sever"/>
    <x v="0"/>
    <n v="5"/>
    <x v="5"/>
  </r>
  <r>
    <n v="678"/>
    <x v="4"/>
    <x v="1"/>
    <x v="1"/>
    <x v="2"/>
    <x v="34"/>
    <n v="6.8"/>
    <x v="1"/>
    <x v="0"/>
    <x v="0"/>
    <x v="3"/>
    <x v="0"/>
    <n v="5"/>
    <s v="Moderate"/>
    <x v="2"/>
    <n v="8"/>
    <x v="0"/>
  </r>
  <r>
    <n v="679"/>
    <x v="3"/>
    <x v="1"/>
    <x v="0"/>
    <x v="0"/>
    <x v="1"/>
    <n v="5.3"/>
    <x v="0"/>
    <x v="11"/>
    <x v="0"/>
    <x v="10"/>
    <x v="0"/>
    <n v="6"/>
    <s v="Moderate"/>
    <x v="0"/>
    <n v="7"/>
    <x v="0"/>
  </r>
  <r>
    <n v="680"/>
    <x v="6"/>
    <x v="1"/>
    <x v="1"/>
    <x v="2"/>
    <x v="12"/>
    <n v="6.2"/>
    <x v="1"/>
    <x v="3"/>
    <x v="0"/>
    <x v="26"/>
    <x v="0"/>
    <n v="5"/>
    <s v="Moderate"/>
    <x v="2"/>
    <n v="8"/>
    <x v="0"/>
  </r>
  <r>
    <n v="681"/>
    <x v="0"/>
    <x v="0"/>
    <x v="0"/>
    <x v="0"/>
    <x v="9"/>
    <n v="4.7"/>
    <x v="0"/>
    <x v="0"/>
    <x v="1"/>
    <x v="8"/>
    <x v="1"/>
    <n v="7"/>
    <s v="Sever"/>
    <x v="0"/>
    <n v="5"/>
    <x v="2"/>
  </r>
  <r>
    <n v="682"/>
    <x v="5"/>
    <x v="1"/>
    <x v="1"/>
    <x v="2"/>
    <x v="3"/>
    <n v="5.8"/>
    <x v="0"/>
    <x v="1"/>
    <x v="0"/>
    <x v="19"/>
    <x v="0"/>
    <n v="6"/>
    <s v="Moderate"/>
    <x v="2"/>
    <n v="7"/>
    <x v="0"/>
  </r>
  <r>
    <n v="683"/>
    <x v="1"/>
    <x v="1"/>
    <x v="0"/>
    <x v="0"/>
    <x v="2"/>
    <n v="6.1"/>
    <x v="1"/>
    <x v="11"/>
    <x v="0"/>
    <x v="25"/>
    <x v="0"/>
    <n v="5"/>
    <s v="Moderate"/>
    <x v="2"/>
    <n v="8"/>
    <x v="0"/>
  </r>
  <r>
    <n v="684"/>
    <x v="4"/>
    <x v="1"/>
    <x v="1"/>
    <x v="2"/>
    <x v="11"/>
    <n v="4.8"/>
    <x v="0"/>
    <x v="3"/>
    <x v="1"/>
    <x v="23"/>
    <x v="1"/>
    <n v="7"/>
    <s v="Sever"/>
    <x v="0"/>
    <n v="5"/>
    <x v="5"/>
  </r>
  <r>
    <n v="685"/>
    <x v="3"/>
    <x v="1"/>
    <x v="0"/>
    <x v="0"/>
    <x v="13"/>
    <n v="6.7"/>
    <x v="1"/>
    <x v="0"/>
    <x v="0"/>
    <x v="3"/>
    <x v="0"/>
    <n v="4"/>
    <s v="Mild"/>
    <x v="2"/>
    <n v="9"/>
    <x v="0"/>
  </r>
  <r>
    <n v="686"/>
    <x v="6"/>
    <x v="1"/>
    <x v="1"/>
    <x v="2"/>
    <x v="14"/>
    <n v="5.5"/>
    <x v="0"/>
    <x v="10"/>
    <x v="0"/>
    <x v="10"/>
    <x v="0"/>
    <n v="6"/>
    <s v="Moderate"/>
    <x v="0"/>
    <m/>
    <x v="6"/>
  </r>
  <r>
    <n v="687"/>
    <x v="0"/>
    <x v="0"/>
    <x v="0"/>
    <x v="0"/>
    <x v="7"/>
    <n v="4.2"/>
    <x v="0"/>
    <x v="11"/>
    <x v="1"/>
    <x v="28"/>
    <x v="1"/>
    <n v="8"/>
    <s v="Sever"/>
    <x v="2"/>
    <n v="4"/>
    <x v="2"/>
  </r>
  <r>
    <n v="688"/>
    <x v="5"/>
    <x v="1"/>
    <x v="1"/>
    <x v="2"/>
    <x v="59"/>
    <n v="6.3"/>
    <x v="1"/>
    <x v="1"/>
    <x v="0"/>
    <x v="6"/>
    <x v="0"/>
    <n v="5"/>
    <s v="Moderate"/>
    <x v="2"/>
    <n v="8"/>
    <x v="0"/>
  </r>
  <r>
    <n v="689"/>
    <x v="1"/>
    <x v="1"/>
    <x v="0"/>
    <x v="0"/>
    <x v="58"/>
    <n v="4.4000000000000004"/>
    <x v="0"/>
    <x v="0"/>
    <x v="1"/>
    <x v="20"/>
    <x v="1"/>
    <n v="7"/>
    <s v="Sever"/>
    <x v="0"/>
    <n v="5"/>
    <x v="5"/>
  </r>
  <r>
    <n v="690"/>
    <x v="4"/>
    <x v="1"/>
    <x v="1"/>
    <x v="2"/>
    <x v="10"/>
    <n v="6.5"/>
    <x v="1"/>
    <x v="3"/>
    <x v="0"/>
    <x v="27"/>
    <x v="0"/>
    <n v="5"/>
    <s v="Moderate"/>
    <x v="2"/>
    <n v="8"/>
    <x v="0"/>
  </r>
  <r>
    <n v="691"/>
    <x v="3"/>
    <x v="1"/>
    <x v="0"/>
    <x v="0"/>
    <x v="17"/>
    <n v="4.5999999999999996"/>
    <x v="0"/>
    <x v="11"/>
    <x v="1"/>
    <x v="15"/>
    <x v="1"/>
    <n v="7"/>
    <s v="Sever"/>
    <x v="0"/>
    <n v="5"/>
    <x v="5"/>
  </r>
  <r>
    <n v="692"/>
    <x v="6"/>
    <x v="1"/>
    <x v="1"/>
    <x v="2"/>
    <x v="24"/>
    <n v="5.9"/>
    <x v="0"/>
    <x v="0"/>
    <x v="0"/>
    <x v="0"/>
    <x v="0"/>
    <n v="6"/>
    <s v="Moderate"/>
    <x v="2"/>
    <n v="7"/>
    <x v="0"/>
  </r>
  <r>
    <n v="693"/>
    <x v="0"/>
    <x v="0"/>
    <x v="0"/>
    <x v="0"/>
    <x v="109"/>
    <n v="7"/>
    <x v="1"/>
    <x v="1"/>
    <x v="0"/>
    <x v="7"/>
    <x v="0"/>
    <n v="4"/>
    <s v="Mild"/>
    <x v="2"/>
    <n v="9"/>
    <x v="0"/>
  </r>
  <r>
    <n v="694"/>
    <x v="5"/>
    <x v="1"/>
    <x v="1"/>
    <x v="2"/>
    <x v="20"/>
    <n v="4.5"/>
    <x v="0"/>
    <x v="3"/>
    <x v="1"/>
    <x v="15"/>
    <x v="1"/>
    <n v="7"/>
    <s v="Sever"/>
    <x v="0"/>
    <n v="5"/>
    <x v="5"/>
  </r>
  <r>
    <n v="695"/>
    <x v="1"/>
    <x v="1"/>
    <x v="0"/>
    <x v="0"/>
    <x v="34"/>
    <n v="6.6"/>
    <x v="1"/>
    <x v="0"/>
    <x v="0"/>
    <x v="27"/>
    <x v="0"/>
    <n v="5"/>
    <s v="Moderate"/>
    <x v="2"/>
    <n v="8"/>
    <x v="0"/>
  </r>
  <r>
    <n v="696"/>
    <x v="4"/>
    <x v="1"/>
    <x v="1"/>
    <x v="2"/>
    <x v="1"/>
    <n v="5.5"/>
    <x v="0"/>
    <x v="11"/>
    <x v="0"/>
    <x v="13"/>
    <x v="0"/>
    <n v="6"/>
    <s v="Moderate"/>
    <x v="0"/>
    <n v="7"/>
    <x v="0"/>
  </r>
  <r>
    <n v="697"/>
    <x v="3"/>
    <x v="1"/>
    <x v="0"/>
    <x v="0"/>
    <x v="12"/>
    <n v="6.3"/>
    <x v="1"/>
    <x v="1"/>
    <x v="0"/>
    <x v="6"/>
    <x v="0"/>
    <n v="5"/>
    <s v="Moderate"/>
    <x v="2"/>
    <n v="8"/>
    <x v="0"/>
  </r>
  <r>
    <n v="698"/>
    <x v="6"/>
    <x v="1"/>
    <x v="1"/>
    <x v="2"/>
    <x v="9"/>
    <n v="4.8"/>
    <x v="0"/>
    <x v="3"/>
    <x v="1"/>
    <x v="23"/>
    <x v="1"/>
    <n v="7"/>
    <s v="Sever"/>
    <x v="0"/>
    <n v="5"/>
    <x v="2"/>
  </r>
  <r>
    <n v="699"/>
    <x v="0"/>
    <x v="0"/>
    <x v="0"/>
    <x v="0"/>
    <x v="3"/>
    <n v="5.7"/>
    <x v="0"/>
    <x v="0"/>
    <x v="0"/>
    <x v="19"/>
    <x v="0"/>
    <n v="6"/>
    <s v="Moderate"/>
    <x v="2"/>
    <n v="7"/>
    <x v="0"/>
  </r>
  <r>
    <n v="700"/>
    <x v="5"/>
    <x v="1"/>
    <x v="1"/>
    <x v="2"/>
    <x v="2"/>
    <n v="6.2"/>
    <x v="1"/>
    <x v="11"/>
    <x v="0"/>
    <x v="26"/>
    <x v="0"/>
    <n v="5"/>
    <s v="Moderate"/>
    <x v="2"/>
    <n v="8"/>
    <x v="0"/>
  </r>
  <r>
    <n v="701"/>
    <x v="1"/>
    <x v="1"/>
    <x v="0"/>
    <x v="0"/>
    <x v="11"/>
    <n v="4.7"/>
    <x v="0"/>
    <x v="1"/>
    <x v="1"/>
    <x v="8"/>
    <x v="1"/>
    <n v="7"/>
    <s v="Sever"/>
    <x v="0"/>
    <n v="5"/>
    <x v="5"/>
  </r>
  <r>
    <n v="702"/>
    <x v="4"/>
    <x v="1"/>
    <x v="1"/>
    <x v="2"/>
    <x v="13"/>
    <n v="6.8"/>
    <x v="1"/>
    <x v="0"/>
    <x v="0"/>
    <x v="14"/>
    <x v="0"/>
    <n v="4"/>
    <s v="Mild"/>
    <x v="2"/>
    <n v="9"/>
    <x v="0"/>
  </r>
  <r>
    <n v="703"/>
    <x v="3"/>
    <x v="1"/>
    <x v="0"/>
    <x v="0"/>
    <x v="14"/>
    <n v="5.6"/>
    <x v="0"/>
    <x v="10"/>
    <x v="0"/>
    <x v="13"/>
    <x v="0"/>
    <n v="6"/>
    <s v="Moderate"/>
    <x v="0"/>
    <m/>
    <x v="6"/>
  </r>
  <r>
    <n v="704"/>
    <x v="6"/>
    <x v="1"/>
    <x v="1"/>
    <x v="2"/>
    <x v="7"/>
    <n v="4.3"/>
    <x v="0"/>
    <x v="11"/>
    <x v="1"/>
    <x v="28"/>
    <x v="1"/>
    <n v="8"/>
    <s v="Sever"/>
    <x v="2"/>
    <n v="4"/>
    <x v="2"/>
  </r>
  <r>
    <n v="705"/>
    <x v="0"/>
    <x v="0"/>
    <x v="0"/>
    <x v="0"/>
    <x v="59"/>
    <n v="6.2"/>
    <x v="1"/>
    <x v="3"/>
    <x v="0"/>
    <x v="26"/>
    <x v="0"/>
    <n v="5"/>
    <s v="Moderate"/>
    <x v="2"/>
    <n v="8"/>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363AAAD8-E15E-46DC-A8D8-C8B8CDA603E5}" name="PivotTable5" cacheId="2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18:E25" firstHeaderRow="1" firstDataRow="2" firstDataCol="1"/>
  <pivotFields count="17">
    <pivotField dataField="1" showAll="0"/>
    <pivotField showAll="0"/>
    <pivotField showAll="0">
      <items count="3">
        <item x="0"/>
        <item x="1"/>
        <item t="default"/>
      </items>
    </pivotField>
    <pivotField showAll="0">
      <items count="3">
        <item x="0"/>
        <item x="1"/>
        <item t="default"/>
      </items>
    </pivotField>
    <pivotField showAll="0">
      <items count="4">
        <item x="2"/>
        <item x="1"/>
        <item x="0"/>
        <item t="default"/>
      </items>
    </pivotField>
    <pivotField showAll="0"/>
    <pivotField showAll="0"/>
    <pivotField showAll="0"/>
    <pivotField axis="axisRow" showAll="0">
      <items count="13">
        <item x="3"/>
        <item x="0"/>
        <item h="1" x="7"/>
        <item h="1" x="6"/>
        <item h="1" x="4"/>
        <item h="1" x="5"/>
        <item h="1" x="1"/>
        <item x="11"/>
        <item h="1" x="8"/>
        <item h="1" x="10"/>
        <item x="9"/>
        <item x="2"/>
        <item t="default"/>
      </items>
    </pivotField>
    <pivotField showAll="0"/>
    <pivotField showAll="0">
      <items count="60">
        <item x="58"/>
        <item x="56"/>
        <item x="54"/>
        <item x="48"/>
        <item x="46"/>
        <item x="44"/>
        <item x="42"/>
        <item x="4"/>
        <item x="41"/>
        <item x="39"/>
        <item x="37"/>
        <item x="35"/>
        <item x="1"/>
        <item x="22"/>
        <item x="18"/>
        <item x="21"/>
        <item x="16"/>
        <item x="9"/>
        <item x="24"/>
        <item x="12"/>
        <item x="7"/>
        <item x="14"/>
        <item x="3"/>
        <item x="27"/>
        <item x="6"/>
        <item x="26"/>
        <item x="25"/>
        <item x="0"/>
        <item x="19"/>
        <item x="13"/>
        <item x="10"/>
        <item x="17"/>
        <item x="2"/>
        <item x="23"/>
        <item x="8"/>
        <item x="15"/>
        <item x="20"/>
        <item x="28"/>
        <item x="29"/>
        <item x="30"/>
        <item x="11"/>
        <item x="31"/>
        <item x="5"/>
        <item x="32"/>
        <item x="33"/>
        <item x="34"/>
        <item x="36"/>
        <item x="38"/>
        <item x="40"/>
        <item x="43"/>
        <item x="45"/>
        <item x="47"/>
        <item x="49"/>
        <item x="50"/>
        <item x="51"/>
        <item x="52"/>
        <item x="53"/>
        <item x="55"/>
        <item x="57"/>
        <item t="default"/>
      </items>
    </pivotField>
    <pivotField axis="axisCol" showAll="0">
      <items count="4">
        <item x="2"/>
        <item x="0"/>
        <item x="1"/>
        <item t="default"/>
      </items>
    </pivotField>
    <pivotField showAll="0"/>
    <pivotField showAll="0"/>
    <pivotField showAll="0">
      <items count="4">
        <item x="1"/>
        <item x="0"/>
        <item x="2"/>
        <item t="default"/>
      </items>
    </pivotField>
    <pivotField showAll="0"/>
    <pivotField showAll="0"/>
  </pivotFields>
  <rowFields count="1">
    <field x="8"/>
  </rowFields>
  <rowItems count="6">
    <i>
      <x/>
    </i>
    <i>
      <x v="1"/>
    </i>
    <i>
      <x v="7"/>
    </i>
    <i>
      <x v="10"/>
    </i>
    <i>
      <x v="11"/>
    </i>
    <i t="grand">
      <x/>
    </i>
  </rowItems>
  <colFields count="1">
    <field x="11"/>
  </colFields>
  <colItems count="4">
    <i>
      <x/>
    </i>
    <i>
      <x v="1"/>
    </i>
    <i>
      <x v="2"/>
    </i>
    <i t="grand">
      <x/>
    </i>
  </colItems>
  <dataFields count="1">
    <dataField name="Count of Student ID" fld="0" subtotal="count" baseField="8" baseItem="0"/>
  </dataFields>
  <chartFormats count="9">
    <chartFormat chart="0" format="0" series="1">
      <pivotArea type="data" outline="0" fieldPosition="0">
        <references count="2">
          <reference field="4294967294" count="1" selected="0">
            <x v="0"/>
          </reference>
          <reference field="11" count="1" selected="0">
            <x v="0"/>
          </reference>
        </references>
      </pivotArea>
    </chartFormat>
    <chartFormat chart="0" format="1" series="1">
      <pivotArea type="data" outline="0" fieldPosition="0">
        <references count="2">
          <reference field="4294967294" count="1" selected="0">
            <x v="0"/>
          </reference>
          <reference field="11" count="1" selected="0">
            <x v="1"/>
          </reference>
        </references>
      </pivotArea>
    </chartFormat>
    <chartFormat chart="0" format="2" series="1">
      <pivotArea type="data" outline="0" fieldPosition="0">
        <references count="2">
          <reference field="4294967294" count="1" selected="0">
            <x v="0"/>
          </reference>
          <reference field="11" count="1" selected="0">
            <x v="2"/>
          </reference>
        </references>
      </pivotArea>
    </chartFormat>
    <chartFormat chart="1" format="3" series="1">
      <pivotArea type="data" outline="0" fieldPosition="0">
        <references count="2">
          <reference field="4294967294" count="1" selected="0">
            <x v="0"/>
          </reference>
          <reference field="11" count="1" selected="0">
            <x v="0"/>
          </reference>
        </references>
      </pivotArea>
    </chartFormat>
    <chartFormat chart="1" format="4" series="1">
      <pivotArea type="data" outline="0" fieldPosition="0">
        <references count="2">
          <reference field="4294967294" count="1" selected="0">
            <x v="0"/>
          </reference>
          <reference field="11" count="1" selected="0">
            <x v="1"/>
          </reference>
        </references>
      </pivotArea>
    </chartFormat>
    <chartFormat chart="1" format="5" series="1">
      <pivotArea type="data" outline="0" fieldPosition="0">
        <references count="2">
          <reference field="4294967294" count="1" selected="0">
            <x v="0"/>
          </reference>
          <reference field="11" count="1" selected="0">
            <x v="2"/>
          </reference>
        </references>
      </pivotArea>
    </chartFormat>
    <chartFormat chart="2" format="6" series="1">
      <pivotArea type="data" outline="0" fieldPosition="0">
        <references count="2">
          <reference field="4294967294" count="1" selected="0">
            <x v="0"/>
          </reference>
          <reference field="11" count="1" selected="0">
            <x v="0"/>
          </reference>
        </references>
      </pivotArea>
    </chartFormat>
    <chartFormat chart="2" format="7" series="1">
      <pivotArea type="data" outline="0" fieldPosition="0">
        <references count="2">
          <reference field="4294967294" count="1" selected="0">
            <x v="0"/>
          </reference>
          <reference field="11" count="1" selected="0">
            <x v="1"/>
          </reference>
        </references>
      </pivotArea>
    </chartFormat>
    <chartFormat chart="2" format="8" series="1">
      <pivotArea type="data" outline="0" fieldPosition="0">
        <references count="2">
          <reference field="4294967294" count="1" selected="0">
            <x v="0"/>
          </reference>
          <reference field="11"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C808A69A-B300-4F55-B957-A3A917DC9476}" name="PivotTable4" cacheId="2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8:B15" firstHeaderRow="1" firstDataRow="1" firstDataCol="1"/>
  <pivotFields count="17">
    <pivotField dataField="1" showAll="0"/>
    <pivotField showAll="0"/>
    <pivotField showAll="0">
      <items count="3">
        <item x="0"/>
        <item x="1"/>
        <item t="default"/>
      </items>
    </pivotField>
    <pivotField showAll="0">
      <items count="3">
        <item x="0"/>
        <item x="1"/>
        <item t="default"/>
      </items>
    </pivotField>
    <pivotField showAll="0">
      <items count="4">
        <item x="2"/>
        <item x="1"/>
        <item x="0"/>
        <item t="default"/>
      </items>
    </pivotField>
    <pivotField showAll="0"/>
    <pivotField showAll="0"/>
    <pivotField showAll="0"/>
    <pivotField axis="axisRow" showAll="0">
      <items count="13">
        <item x="3"/>
        <item x="0"/>
        <item h="1" x="7"/>
        <item h="1" x="6"/>
        <item h="1" x="4"/>
        <item h="1" x="5"/>
        <item x="1"/>
        <item x="11"/>
        <item h="1" x="8"/>
        <item h="1" x="10"/>
        <item x="9"/>
        <item x="2"/>
        <item t="default"/>
      </items>
    </pivotField>
    <pivotField showAll="0"/>
    <pivotField showAll="0"/>
    <pivotField showAll="0"/>
    <pivotField showAll="0"/>
    <pivotField showAll="0"/>
    <pivotField showAll="0">
      <items count="4">
        <item x="1"/>
        <item x="0"/>
        <item x="2"/>
        <item t="default"/>
      </items>
    </pivotField>
    <pivotField showAll="0"/>
    <pivotField showAll="0"/>
  </pivotFields>
  <rowFields count="1">
    <field x="8"/>
  </rowFields>
  <rowItems count="7">
    <i>
      <x/>
    </i>
    <i>
      <x v="1"/>
    </i>
    <i>
      <x v="6"/>
    </i>
    <i>
      <x v="7"/>
    </i>
    <i>
      <x v="10"/>
    </i>
    <i>
      <x v="11"/>
    </i>
    <i t="grand">
      <x/>
    </i>
  </rowItems>
  <colItems count="1">
    <i/>
  </colItems>
  <dataFields count="1">
    <dataField name="Count of Student ID" fld="0" subtotal="count" baseField="8" baseItem="0"/>
  </dataFields>
  <chartFormats count="7">
    <chartFormat chart="2" format="8" series="1">
      <pivotArea type="data" outline="0" fieldPosition="0">
        <references count="1">
          <reference field="4294967294" count="1" selected="0">
            <x v="0"/>
          </reference>
        </references>
      </pivotArea>
    </chartFormat>
    <chartFormat chart="2" format="9">
      <pivotArea type="data" outline="0" fieldPosition="0">
        <references count="2">
          <reference field="4294967294" count="1" selected="0">
            <x v="0"/>
          </reference>
          <reference field="8" count="1" selected="0">
            <x v="0"/>
          </reference>
        </references>
      </pivotArea>
    </chartFormat>
    <chartFormat chart="2" format="10">
      <pivotArea type="data" outline="0" fieldPosition="0">
        <references count="2">
          <reference field="4294967294" count="1" selected="0">
            <x v="0"/>
          </reference>
          <reference field="8" count="1" selected="0">
            <x v="1"/>
          </reference>
        </references>
      </pivotArea>
    </chartFormat>
    <chartFormat chart="2" format="11">
      <pivotArea type="data" outline="0" fieldPosition="0">
        <references count="2">
          <reference field="4294967294" count="1" selected="0">
            <x v="0"/>
          </reference>
          <reference field="8" count="1" selected="0">
            <x v="6"/>
          </reference>
        </references>
      </pivotArea>
    </chartFormat>
    <chartFormat chart="2" format="12">
      <pivotArea type="data" outline="0" fieldPosition="0">
        <references count="2">
          <reference field="4294967294" count="1" selected="0">
            <x v="0"/>
          </reference>
          <reference field="8" count="1" selected="0">
            <x v="7"/>
          </reference>
        </references>
      </pivotArea>
    </chartFormat>
    <chartFormat chart="2" format="13">
      <pivotArea type="data" outline="0" fieldPosition="0">
        <references count="2">
          <reference field="4294967294" count="1" selected="0">
            <x v="0"/>
          </reference>
          <reference field="8" count="1" selected="0">
            <x v="10"/>
          </reference>
        </references>
      </pivotArea>
    </chartFormat>
    <chartFormat chart="2" format="14">
      <pivotArea type="data" outline="0" fieldPosition="0">
        <references count="2">
          <reference field="4294967294" count="1" selected="0">
            <x v="0"/>
          </reference>
          <reference field="8" count="1" selected="0">
            <x v="1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AD8C6F41-DF27-4323-B358-A8857E446511}" name="PivotTable3" cacheId="2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F1:I9" firstHeaderRow="1" firstDataRow="2" firstDataCol="1"/>
  <pivotFields count="17">
    <pivotField dataField="1" showAll="0"/>
    <pivotField showAll="0"/>
    <pivotField showAll="0">
      <items count="3">
        <item x="0"/>
        <item x="1"/>
        <item t="default"/>
      </items>
    </pivotField>
    <pivotField showAll="0">
      <items count="3">
        <item x="0"/>
        <item x="1"/>
        <item t="default"/>
      </items>
    </pivotField>
    <pivotField showAll="0">
      <items count="4">
        <item x="2"/>
        <item x="1"/>
        <item x="0"/>
        <item t="default"/>
      </items>
    </pivotField>
    <pivotField showAll="0"/>
    <pivotField showAll="0"/>
    <pivotField showAll="0"/>
    <pivotField axis="axisRow" showAll="0">
      <items count="13">
        <item x="3"/>
        <item x="0"/>
        <item h="1" x="7"/>
        <item h="1" x="6"/>
        <item h="1" x="4"/>
        <item h="1" x="5"/>
        <item x="1"/>
        <item x="11"/>
        <item h="1" x="8"/>
        <item h="1" x="10"/>
        <item x="9"/>
        <item x="2"/>
        <item t="default"/>
      </items>
    </pivotField>
    <pivotField axis="axisCol" showAll="0">
      <items count="3">
        <item x="1"/>
        <item x="0"/>
        <item t="default"/>
      </items>
    </pivotField>
    <pivotField showAll="0"/>
    <pivotField showAll="0"/>
    <pivotField showAll="0"/>
    <pivotField showAll="0"/>
    <pivotField showAll="0">
      <items count="4">
        <item x="1"/>
        <item x="0"/>
        <item x="2"/>
        <item t="default"/>
      </items>
    </pivotField>
    <pivotField showAll="0"/>
    <pivotField showAll="0"/>
  </pivotFields>
  <rowFields count="1">
    <field x="8"/>
  </rowFields>
  <rowItems count="7">
    <i>
      <x/>
    </i>
    <i>
      <x v="1"/>
    </i>
    <i>
      <x v="6"/>
    </i>
    <i>
      <x v="7"/>
    </i>
    <i>
      <x v="10"/>
    </i>
    <i>
      <x v="11"/>
    </i>
    <i t="grand">
      <x/>
    </i>
  </rowItems>
  <colFields count="1">
    <field x="9"/>
  </colFields>
  <colItems count="3">
    <i>
      <x/>
    </i>
    <i>
      <x v="1"/>
    </i>
    <i t="grand">
      <x/>
    </i>
  </colItems>
  <dataFields count="1">
    <dataField name="Count of Student ID" fld="0" subtotal="count" baseField="8" baseItem="0"/>
  </dataFields>
  <chartFormats count="2">
    <chartFormat chart="3" format="4" series="1">
      <pivotArea type="data" outline="0" fieldPosition="0">
        <references count="2">
          <reference field="4294967294" count="1" selected="0">
            <x v="0"/>
          </reference>
          <reference field="9" count="1" selected="0">
            <x v="0"/>
          </reference>
        </references>
      </pivotArea>
    </chartFormat>
    <chartFormat chart="3" format="5" series="1">
      <pivotArea type="data" outline="0" fieldPosition="0">
        <references count="2">
          <reference field="4294967294" count="1" selected="0">
            <x v="0"/>
          </reference>
          <reference field="9"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1D8E5A88-9647-48C1-9545-2F44EF6FF0D9}" name="PivotTable2" cacheId="2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1:D6" firstHeaderRow="1" firstDataRow="2" firstDataCol="1"/>
  <pivotFields count="17">
    <pivotField showAll="0"/>
    <pivotField showAll="0">
      <items count="8">
        <item x="2"/>
        <item x="0"/>
        <item x="1"/>
        <item x="3"/>
        <item x="5"/>
        <item x="4"/>
        <item x="6"/>
        <item t="default"/>
      </items>
    </pivotField>
    <pivotField showAll="0">
      <items count="3">
        <item x="0"/>
        <item x="1"/>
        <item t="default"/>
      </items>
    </pivotField>
    <pivotField axis="axisCol" showAll="0">
      <items count="3">
        <item x="0"/>
        <item x="1"/>
        <item t="default"/>
      </items>
    </pivotField>
    <pivotField showAll="0">
      <items count="4">
        <item x="2"/>
        <item x="1"/>
        <item x="0"/>
        <item t="default"/>
      </items>
    </pivotField>
    <pivotField showAll="0">
      <items count="111">
        <item x="103"/>
        <item x="90"/>
        <item x="85"/>
        <item x="43"/>
        <item x="78"/>
        <item x="4"/>
        <item x="21"/>
        <item x="80"/>
        <item x="56"/>
        <item x="96"/>
        <item x="0"/>
        <item x="73"/>
        <item x="19"/>
        <item x="106"/>
        <item x="51"/>
        <item x="93"/>
        <item x="6"/>
        <item x="67"/>
        <item x="3"/>
        <item x="44"/>
        <item x="14"/>
        <item x="45"/>
        <item x="52"/>
        <item x="64"/>
        <item x="81"/>
        <item x="62"/>
        <item x="17"/>
        <item x="48"/>
        <item x="37"/>
        <item x="68"/>
        <item x="58"/>
        <item x="9"/>
        <item x="79"/>
        <item x="5"/>
        <item x="42"/>
        <item x="23"/>
        <item x="33"/>
        <item x="61"/>
        <item x="57"/>
        <item x="109"/>
        <item x="31"/>
        <item x="100"/>
        <item x="24"/>
        <item x="35"/>
        <item x="11"/>
        <item x="54"/>
        <item x="7"/>
        <item x="98"/>
        <item x="74"/>
        <item x="41"/>
        <item x="92"/>
        <item x="95"/>
        <item x="76"/>
        <item x="69"/>
        <item x="99"/>
        <item x="88"/>
        <item x="70"/>
        <item x="83"/>
        <item x="27"/>
        <item x="108"/>
        <item x="82"/>
        <item x="12"/>
        <item x="72"/>
        <item x="84"/>
        <item x="89"/>
        <item x="38"/>
        <item x="105"/>
        <item x="18"/>
        <item x="25"/>
        <item x="40"/>
        <item x="91"/>
        <item x="16"/>
        <item x="97"/>
        <item x="104"/>
        <item x="53"/>
        <item x="50"/>
        <item x="46"/>
        <item x="30"/>
        <item x="59"/>
        <item x="22"/>
        <item x="94"/>
        <item x="60"/>
        <item x="13"/>
        <item x="86"/>
        <item x="65"/>
        <item x="26"/>
        <item x="63"/>
        <item x="66"/>
        <item x="39"/>
        <item x="8"/>
        <item x="10"/>
        <item x="107"/>
        <item x="15"/>
        <item x="20"/>
        <item x="102"/>
        <item x="32"/>
        <item x="77"/>
        <item x="28"/>
        <item x="55"/>
        <item x="34"/>
        <item x="36"/>
        <item x="2"/>
        <item x="71"/>
        <item x="49"/>
        <item x="1"/>
        <item x="75"/>
        <item x="87"/>
        <item x="47"/>
        <item x="29"/>
        <item x="101"/>
        <item t="default"/>
      </items>
    </pivotField>
    <pivotField dataField="1" showAll="0"/>
    <pivotField showAll="0">
      <items count="4">
        <item x="1"/>
        <item x="2"/>
        <item x="0"/>
        <item t="default"/>
      </items>
    </pivotField>
    <pivotField showAll="0"/>
    <pivotField showAll="0"/>
    <pivotField showAll="0"/>
    <pivotField showAll="0"/>
    <pivotField showAll="0"/>
    <pivotField showAll="0"/>
    <pivotField showAll="0">
      <items count="4">
        <item x="1"/>
        <item x="0"/>
        <item x="2"/>
        <item t="default"/>
      </items>
    </pivotField>
    <pivotField showAll="0"/>
    <pivotField axis="axisRow" showAll="0">
      <items count="12">
        <item h="1" x="3"/>
        <item h="1" x="8"/>
        <item h="1" x="7"/>
        <item h="1" x="10"/>
        <item h="1" x="9"/>
        <item h="1" x="6"/>
        <item h="1" x="4"/>
        <item h="1" x="1"/>
        <item x="0"/>
        <item x="2"/>
        <item x="5"/>
        <item t="default"/>
      </items>
    </pivotField>
  </pivotFields>
  <rowFields count="1">
    <field x="16"/>
  </rowFields>
  <rowItems count="4">
    <i>
      <x v="8"/>
    </i>
    <i>
      <x v="9"/>
    </i>
    <i>
      <x v="10"/>
    </i>
    <i t="grand">
      <x/>
    </i>
  </rowItems>
  <colFields count="1">
    <field x="3"/>
  </colFields>
  <colItems count="3">
    <i>
      <x/>
    </i>
    <i>
      <x v="1"/>
    </i>
    <i t="grand">
      <x/>
    </i>
  </colItems>
  <dataFields count="1">
    <dataField name="Sum of Avg Daily Usage Hours" fld="6" baseField="0" baseItem="0"/>
  </dataFields>
  <chartFormats count="2">
    <chartFormat chart="2" format="4" series="1">
      <pivotArea type="data" outline="0" fieldPosition="0">
        <references count="2">
          <reference field="4294967294" count="1" selected="0">
            <x v="0"/>
          </reference>
          <reference field="3" count="1" selected="0">
            <x v="0"/>
          </reference>
        </references>
      </pivotArea>
    </chartFormat>
    <chartFormat chart="2" format="5" series="1">
      <pivotArea type="data" outline="0" fieldPosition="0">
        <references count="2">
          <reference field="4294967294" count="1" selected="0">
            <x v="0"/>
          </reference>
          <reference field="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0D8A193E-947D-4720-8292-DA1EDB93AE7A}" autoFormatId="16" applyNumberFormats="0" applyBorderFormats="0" applyFontFormats="0" applyPatternFormats="0" applyAlignmentFormats="0" applyWidthHeightFormats="0">
  <queryTableRefresh nextId="14">
    <queryTableFields count="13">
      <queryTableField id="1" name="Student_ID" tableColumnId="1"/>
      <queryTableField id="2" name="Age" tableColumnId="2"/>
      <queryTableField id="3" name="Gender" tableColumnId="3"/>
      <queryTableField id="4" name="Academic_Level" tableColumnId="4"/>
      <queryTableField id="5" name="Country" tableColumnId="5"/>
      <queryTableField id="6" name="Avg_Daily_Usage_Hours" tableColumnId="6"/>
      <queryTableField id="7" name="Most_Used_Platform" tableColumnId="7"/>
      <queryTableField id="8" name="Affects_Academic_Performance" tableColumnId="8"/>
      <queryTableField id="9" name="Sleep_Hours_Per_Night" tableColumnId="9"/>
      <queryTableField id="10" name="Mental_Health_Score" tableColumnId="10"/>
      <queryTableField id="11" name="Relationship_Status" tableColumnId="11"/>
      <queryTableField id="12" name="Conflicts_Over_Social_Media" tableColumnId="12"/>
      <queryTableField id="13" name="Addicted_Score" tableColumnId="13"/>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1" connectionId="2" xr16:uid="{B7265580-6E87-4ABD-83C9-AA9B47527E8E}" autoFormatId="16" applyNumberFormats="0" applyBorderFormats="0" applyFontFormats="0" applyPatternFormats="0" applyAlignmentFormats="0" applyWidthHeightFormats="0">
  <queryTableRefresh nextId="21">
    <queryTableFields count="17">
      <queryTableField id="1" name="Student_ID" tableColumnId="1"/>
      <queryTableField id="2" name="Age" tableColumnId="2"/>
      <queryTableField id="19" dataBound="0" tableColumnId="23"/>
      <queryTableField id="3" name="Gender" tableColumnId="3"/>
      <queryTableField id="4" name="Academic_Level" tableColumnId="4"/>
      <queryTableField id="5" name="Country" tableColumnId="5"/>
      <queryTableField id="6" name="Avg_Daily_Usage_Hours" tableColumnId="6"/>
      <queryTableField id="18" dataBound="0" tableColumnId="22"/>
      <queryTableField id="7" name="Most_Used_Platform" tableColumnId="7"/>
      <queryTableField id="8" name="Affects_Academic_Performance" tableColumnId="8"/>
      <queryTableField id="9" name="Sleep_Hours_Per_Night" tableColumnId="9"/>
      <queryTableField id="20" dataBound="0" tableColumnId="24"/>
      <queryTableField id="10" name="Mental_Health_Score" tableColumnId="10"/>
      <queryTableField id="16" dataBound="0" tableColumnId="19"/>
      <queryTableField id="11" name="Relationship_Status" tableColumnId="11"/>
      <queryTableField id="15" dataBound="0" tableColumnId="17"/>
      <queryTableField id="13" name="Addicted_Score" tableColumnId="13"/>
    </queryTableFields>
    <queryTableDeletedFields count="1">
      <deletedField name="Conflicts_Over_Social_Media"/>
    </queryTableDeleted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4E4B6CD8-4CFA-4A45-9741-D9E6DE8E6208}" sourceName="Gender">
  <pivotTables>
    <pivotTable tabId="1" name="PivotTable2"/>
    <pivotTable tabId="1" name="PivotTable3"/>
    <pivotTable tabId="1" name="PivotTable4"/>
    <pivotTable tabId="1" name="PivotTable5"/>
  </pivotTables>
  <data>
    <tabular pivotCacheId="1111972352">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cademic_Level" xr10:uid="{CF9ACE3C-5D76-41A8-B458-90D604354BD7}" sourceName="Academic Level">
  <pivotTables>
    <pivotTable tabId="1" name="PivotTable2"/>
    <pivotTable tabId="1" name="PivotTable3"/>
    <pivotTable tabId="1" name="PivotTable4"/>
    <pivotTable tabId="1" name="PivotTable5"/>
  </pivotTables>
  <data>
    <tabular pivotCacheId="1111972352">
      <items count="3">
        <i x="2" s="1"/>
        <i x="1"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lationship_Status" xr10:uid="{67DEDFE9-A1C2-4D71-BDD4-5886AA7AA475}" sourceName="Relationship Status">
  <pivotTables>
    <pivotTable tabId="1" name="PivotTable2"/>
    <pivotTable tabId="1" name="PivotTable3"/>
    <pivotTable tabId="1" name="PivotTable4"/>
    <pivotTable tabId="1" name="PivotTable5"/>
  </pivotTables>
  <data>
    <tabular pivotCacheId="1111972352">
      <items count="3">
        <i x="1" s="1"/>
        <i x="0" s="1"/>
        <i x="2"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ge_Group" xr10:uid="{01B73247-57F1-439E-9305-2A87A182CB19}" sourceName="Age Group">
  <pivotTables>
    <pivotTable tabId="1" name="PivotTable2"/>
    <pivotTable tabId="1" name="PivotTable3"/>
    <pivotTable tabId="1" name="PivotTable4"/>
    <pivotTable tabId="1" name="PivotTable5"/>
  </pivotTables>
  <data>
    <tabular pivotCacheId="1111972352">
      <items count="2">
        <i x="0" s="1"/>
        <i x="1"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untry" xr10:uid="{054B7C09-ED8E-4A67-AD63-82580EA69D32}" sourceName="Country">
  <pivotTables>
    <pivotTable tabId="1" name="PivotTable2"/>
  </pivotTables>
  <data>
    <tabular pivotCacheId="1111972352">
      <items count="110">
        <i x="85" s="1"/>
        <i x="43" s="1"/>
        <i x="4" s="1"/>
        <i x="80" s="1"/>
        <i x="0" s="1"/>
        <i x="19" s="1"/>
        <i x="6" s="1"/>
        <i x="3" s="1"/>
        <i x="45" s="1"/>
        <i x="52" s="1"/>
        <i x="64" s="1"/>
        <i x="17" s="1"/>
        <i x="58" s="1"/>
        <i x="9" s="1"/>
        <i x="5" s="1"/>
        <i x="23" s="1"/>
        <i x="33" s="1"/>
        <i x="109" s="1"/>
        <i x="24" s="1"/>
        <i x="35" s="1"/>
        <i x="11" s="1"/>
        <i x="7" s="1"/>
        <i x="98" s="1"/>
        <i x="41" s="1"/>
        <i x="92" s="1"/>
        <i x="76" s="1"/>
        <i x="88" s="1"/>
        <i x="70" s="1"/>
        <i x="27" s="1"/>
        <i x="108" s="1"/>
        <i x="12" s="1"/>
        <i x="72" s="1"/>
        <i x="89" s="1"/>
        <i x="38" s="1"/>
        <i x="105" s="1"/>
        <i x="18" s="1"/>
        <i x="25" s="1"/>
        <i x="16" s="1"/>
        <i x="97" s="1"/>
        <i x="104" s="1"/>
        <i x="53" s="1"/>
        <i x="50" s="1"/>
        <i x="46" s="1"/>
        <i x="59" s="1"/>
        <i x="22" s="1"/>
        <i x="94" s="1"/>
        <i x="60" s="1"/>
        <i x="13" s="1"/>
        <i x="26" s="1"/>
        <i x="66" s="1"/>
        <i x="8" s="1"/>
        <i x="10" s="1"/>
        <i x="107" s="1"/>
        <i x="20" s="1"/>
        <i x="102" s="1"/>
        <i x="77" s="1"/>
        <i x="55" s="1"/>
        <i x="34" s="1"/>
        <i x="36" s="1"/>
        <i x="2" s="1"/>
        <i x="49" s="1"/>
        <i x="1" s="1"/>
        <i x="47" s="1"/>
        <i x="29" s="1"/>
        <i x="101" s="1"/>
        <i x="103" s="1" nd="1"/>
        <i x="90" s="1" nd="1"/>
        <i x="78" s="1" nd="1"/>
        <i x="21" s="1" nd="1"/>
        <i x="56" s="1" nd="1"/>
        <i x="96" s="1" nd="1"/>
        <i x="73" s="1" nd="1"/>
        <i x="106" s="1" nd="1"/>
        <i x="51" s="1" nd="1"/>
        <i x="93" s="1" nd="1"/>
        <i x="67" s="1" nd="1"/>
        <i x="44" s="1" nd="1"/>
        <i x="14" s="1" nd="1"/>
        <i x="81" s="1" nd="1"/>
        <i x="62" s="1" nd="1"/>
        <i x="48" s="1" nd="1"/>
        <i x="37" s="1" nd="1"/>
        <i x="68" s="1" nd="1"/>
        <i x="79" s="1" nd="1"/>
        <i x="42" s="1" nd="1"/>
        <i x="61" s="1" nd="1"/>
        <i x="57" s="1" nd="1"/>
        <i x="31" s="1" nd="1"/>
        <i x="100" s="1" nd="1"/>
        <i x="54" s="1" nd="1"/>
        <i x="74" s="1" nd="1"/>
        <i x="95" s="1" nd="1"/>
        <i x="69" s="1" nd="1"/>
        <i x="99" s="1" nd="1"/>
        <i x="83" s="1" nd="1"/>
        <i x="82" s="1" nd="1"/>
        <i x="84" s="1" nd="1"/>
        <i x="40" s="1" nd="1"/>
        <i x="91" s="1" nd="1"/>
        <i x="30" s="1" nd="1"/>
        <i x="86" s="1" nd="1"/>
        <i x="65" s="1" nd="1"/>
        <i x="63" s="1" nd="1"/>
        <i x="39" s="1" nd="1"/>
        <i x="15" s="1" nd="1"/>
        <i x="32" s="1" nd="1"/>
        <i x="28" s="1" nd="1"/>
        <i x="71" s="1" nd="1"/>
        <i x="75" s="1" nd="1"/>
        <i x="87"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xr10:uid="{42BF1807-E08D-4D06-8F3E-98D6F366B04A}" cache="Slicer_Gender" caption="Gender" rowHeight="247650"/>
  <slicer name="Academic Level" xr10:uid="{6120B892-E21F-482D-B456-4A92E04CAEF3}" cache="Slicer_Academic_Level" caption="Academic Level" rowHeight="247650"/>
  <slicer name="Relationship Status" xr10:uid="{BB3B352B-5D95-4F16-A25C-9041A6B70C12}" cache="Slicer_Relationship_Status" caption="Relationship Status" rowHeight="247650"/>
  <slicer name="Age Group" xr10:uid="{D1892A81-B421-423B-904F-53A9180CE88B}" cache="Slicer_Age_Group" caption="Age Group" rowHeight="247650"/>
  <slicer name="Country" xr10:uid="{EB0CB54D-D0F3-4461-8213-688B2BBBD98B}" cache="Slicer_Country" caption="Country" rowHeight="2476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F83C20B4-588F-4A8C-A071-C766EA223172}" name="Students_Social_Media_Addiction" displayName="Students_Social_Media_Addiction" ref="A1:M706" tableType="queryTable" totalsRowShown="0">
  <autoFilter ref="A1:M706" xr:uid="{F83C20B4-588F-4A8C-A071-C766EA223172}"/>
  <tableColumns count="13">
    <tableColumn id="1" xr3:uid="{2E4F7CFC-51BD-4656-8D41-DD1B4D230889}" uniqueName="1" name="Student_ID" queryTableFieldId="1"/>
    <tableColumn id="2" xr3:uid="{9170E568-1B67-45CA-85FB-4E8DA035B51C}" uniqueName="2" name="Age" queryTableFieldId="2"/>
    <tableColumn id="3" xr3:uid="{970B96D6-2965-4E28-98D3-F4A3CFD9925D}" uniqueName="3" name="Gender" queryTableFieldId="3" dataDxfId="20"/>
    <tableColumn id="4" xr3:uid="{AE69F7D9-D9DE-49E2-89D7-A279088C0965}" uniqueName="4" name="Academic_Level" queryTableFieldId="4" dataDxfId="19"/>
    <tableColumn id="5" xr3:uid="{1E35217D-991D-445E-BF83-2C31B8A8F16A}" uniqueName="5" name="Country" queryTableFieldId="5" dataDxfId="18"/>
    <tableColumn id="6" xr3:uid="{69A43D44-72D5-400D-9B2E-2F0B089633E8}" uniqueName="6" name="Avg_Daily_Usage_Hours" queryTableFieldId="6" dataDxfId="17"/>
    <tableColumn id="7" xr3:uid="{E99FD364-EED4-472A-973A-D132044C3825}" uniqueName="7" name="Most_Used_Platform" queryTableFieldId="7" dataDxfId="16"/>
    <tableColumn id="8" xr3:uid="{69D3CC66-C497-476F-8523-3CF4D433DAC3}" uniqueName="8" name="Affects_Academic_Performance" queryTableFieldId="8" dataDxfId="15"/>
    <tableColumn id="9" xr3:uid="{23CC5291-B6E7-49C8-BB5C-8EA93F71B4F3}" uniqueName="9" name="Sleep_Hours_Per_Night" queryTableFieldId="9" dataDxfId="14"/>
    <tableColumn id="10" xr3:uid="{630300EC-0096-413B-8228-9BDE7E87D4DA}" uniqueName="10" name="Mental_Health_Score" queryTableFieldId="10"/>
    <tableColumn id="11" xr3:uid="{2A4C283B-3DEA-4850-A924-A2055203FBE2}" uniqueName="11" name="Relationship_Status" queryTableFieldId="11" dataDxfId="13"/>
    <tableColumn id="12" xr3:uid="{2881D61E-FCAE-4A59-B1AB-54850B38E1FD}" uniqueName="12" name="Conflicts_Over_Social_Media" queryTableFieldId="12"/>
    <tableColumn id="13" xr3:uid="{FFFB0149-AAE4-4599-9552-7A05CE5555D6}" uniqueName="13" name="Addicted_Score" queryTableFieldId="13"/>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10FC8768-0D64-48F1-A2B6-E70EC933D9CB}" name="Students_Social_Media_Addiction_cleaned" displayName="Students_Social_Media_Addiction_cleaned" ref="A1:Q705" tableType="queryTable" totalsRowShown="0" headerRowDxfId="12">
  <autoFilter ref="A1:Q705" xr:uid="{10FC8768-0D64-48F1-A2B6-E70EC933D9CB}">
    <filterColumn colId="5">
      <filters>
        <filter val="Canada"/>
        <filter val="France"/>
        <filter val="India"/>
        <filter val="Spain"/>
        <filter val="USA"/>
      </filters>
    </filterColumn>
    <filterColumn colId="8">
      <filters>
        <filter val="Facebook"/>
        <filter val="Instagram"/>
        <filter val="TikTok"/>
        <filter val="Twitter"/>
        <filter val="WhatsApp"/>
        <filter val="YouTube"/>
      </filters>
    </filterColumn>
    <filterColumn colId="14">
      <filters>
        <filter val="In Relationship"/>
        <filter val="Single"/>
      </filters>
    </filterColumn>
  </autoFilter>
  <tableColumns count="17">
    <tableColumn id="1" xr3:uid="{F1F6BF26-5E2C-42CB-A65D-096C84C1F47B}" uniqueName="1" name="Student ID" queryTableFieldId="1"/>
    <tableColumn id="2" xr3:uid="{33DBBEAF-DEBD-4D20-B042-27B5E4A4993B}" uniqueName="2" name="Age" queryTableFieldId="2"/>
    <tableColumn id="23" xr3:uid="{D9AF8C25-6BC0-439A-B92C-367AFE47F1B6}" uniqueName="23" name="Age Group" queryTableFieldId="19" dataDxfId="11">
      <calculatedColumnFormula>IF(B2&gt;=20,"Young Adult","Teenager")</calculatedColumnFormula>
    </tableColumn>
    <tableColumn id="3" xr3:uid="{D51EB4F9-BCF0-440D-B8CC-41AD3164EEF0}" uniqueName="3" name="Gender" queryTableFieldId="3" dataDxfId="10"/>
    <tableColumn id="4" xr3:uid="{2AA6B30A-03A3-4945-B261-91EDF4C02D7B}" uniqueName="4" name="Academic Level" queryTableFieldId="4" dataDxfId="9"/>
    <tableColumn id="5" xr3:uid="{744E8C3A-8337-4A00-BAF4-5097FF8A24DF}" uniqueName="5" name="Country" queryTableFieldId="5" dataDxfId="8"/>
    <tableColumn id="6" xr3:uid="{5C8C20AF-7C05-4755-9FA2-2C1F38CA3E71}" uniqueName="6" name="Avg Daily Usage Hours" queryTableFieldId="6" dataDxfId="7"/>
    <tableColumn id="22" xr3:uid="{0181575E-ED8B-47C1-BB47-B5526313A3CC}" uniqueName="22" name="Daily Usage Levels" queryTableFieldId="18" dataDxfId="6">
      <calculatedColumnFormula>IF(G2&gt;=6,"Heavy Use",IF(G2&gt;=4,"Moderate Use","Low Use"))</calculatedColumnFormula>
    </tableColumn>
    <tableColumn id="7" xr3:uid="{30CB4179-0047-4988-99FB-529736BE74C1}" uniqueName="7" name="Most Used Platform" queryTableFieldId="7" dataDxfId="5"/>
    <tableColumn id="8" xr3:uid="{051B0BA7-0B66-4769-830B-339DDBF69885}" uniqueName="8" name="Affects Academic Performance" queryTableFieldId="8" dataDxfId="4"/>
    <tableColumn id="9" xr3:uid="{86A7D987-3FA4-40C2-AC5C-D42AB985AB1E}" uniqueName="9" name="Sleep Hours Per Night" queryTableFieldId="9" dataDxfId="3"/>
    <tableColumn id="24" xr3:uid="{2283782A-E00F-465C-B184-DF846A6F5CB0}" uniqueName="24" name="Hours of Sleep Categories" queryTableFieldId="20" dataDxfId="2">
      <calculatedColumnFormula>IF(K2&gt;=9,"Excessive Sleep",IF(K2&gt;=7,"Sufficient Sleep","Severly Deficient Sleep"))</calculatedColumnFormula>
    </tableColumn>
    <tableColumn id="10" xr3:uid="{C0C659F7-AD8E-43F4-897C-888835616DB3}" uniqueName="10" name="Mental Health Score" queryTableFieldId="10"/>
    <tableColumn id="19" xr3:uid="{17D3B10C-D232-4B84-A658-99EAD66D8CFE}" uniqueName="19" name="Mental Health Level" queryTableFieldId="16" dataDxfId="1">
      <calculatedColumnFormula>IF(M2&gt;=7,"Sever",IF(M2&lt;=4,"Mild","Moderate"))</calculatedColumnFormula>
    </tableColumn>
    <tableColumn id="11" xr3:uid="{FAFEFA9C-35C9-4CA4-A3FA-D3683534C8E6}" uniqueName="11" name="Relationship Status" queryTableFieldId="11" dataDxfId="0"/>
    <tableColumn id="17" xr3:uid="{6C45F978-AAFF-4EA7-87D2-F8671B615747}" uniqueName="17" name="Addicted Score" queryTableFieldId="15"/>
    <tableColumn id="13" xr3:uid="{A7D7CA9C-E36B-49C2-ACC5-A91ED476A112}" uniqueName="13" name="Addiction Level" queryTableFieldId="13"/>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openxmlformats.org/officeDocument/2006/relationships/pivotTable" Target="../pivotTables/pivotTable4.xml"/></Relationships>
</file>

<file path=xl/worksheets/_rels/sheet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11D9E5-5703-49A5-8FFA-5546A5370B72}">
  <dimension ref="A1:M706"/>
  <sheetViews>
    <sheetView zoomScale="56" zoomScaleNormal="56" workbookViewId="0"/>
  </sheetViews>
  <sheetFormatPr defaultRowHeight="14.4" x14ac:dyDescent="0.3"/>
  <cols>
    <col min="1" max="1" width="12.33203125" bestFit="1" customWidth="1"/>
    <col min="2" max="2" width="6.21875" bestFit="1" customWidth="1"/>
    <col min="3" max="3" width="9.33203125" bestFit="1" customWidth="1"/>
    <col min="4" max="4" width="16.88671875" bestFit="1" customWidth="1"/>
    <col min="5" max="5" width="14.88671875" bestFit="1" customWidth="1"/>
    <col min="6" max="6" width="22.77734375" bestFit="1" customWidth="1"/>
    <col min="7" max="7" width="20.44140625" bestFit="1" customWidth="1"/>
    <col min="8" max="8" width="30.109375" bestFit="1" customWidth="1"/>
    <col min="9" max="9" width="22.6640625" bestFit="1" customWidth="1"/>
    <col min="10" max="10" width="21" bestFit="1" customWidth="1"/>
    <col min="11" max="11" width="20" bestFit="1" customWidth="1"/>
    <col min="12" max="12" width="27.6640625" bestFit="1" customWidth="1"/>
    <col min="13" max="13" width="16.5546875" bestFit="1" customWidth="1"/>
  </cols>
  <sheetData>
    <row r="1" spans="1:13" x14ac:dyDescent="0.3">
      <c r="A1" t="s">
        <v>0</v>
      </c>
      <c r="B1" t="s">
        <v>1</v>
      </c>
      <c r="C1" t="s">
        <v>2</v>
      </c>
      <c r="D1" t="s">
        <v>3</v>
      </c>
      <c r="E1" t="s">
        <v>4</v>
      </c>
      <c r="F1" t="s">
        <v>5</v>
      </c>
      <c r="G1" t="s">
        <v>6</v>
      </c>
      <c r="H1" t="s">
        <v>7</v>
      </c>
      <c r="I1" t="s">
        <v>8</v>
      </c>
      <c r="J1" t="s">
        <v>9</v>
      </c>
      <c r="K1" t="s">
        <v>10</v>
      </c>
      <c r="L1" t="s">
        <v>11</v>
      </c>
      <c r="M1" t="s">
        <v>12</v>
      </c>
    </row>
    <row r="2" spans="1:13" x14ac:dyDescent="0.3">
      <c r="A2">
        <v>1</v>
      </c>
      <c r="B2">
        <v>19</v>
      </c>
      <c r="C2" t="s">
        <v>13</v>
      </c>
      <c r="D2" t="s">
        <v>14</v>
      </c>
      <c r="E2" t="s">
        <v>15</v>
      </c>
      <c r="F2" t="s">
        <v>16</v>
      </c>
      <c r="G2" t="s">
        <v>17</v>
      </c>
      <c r="H2" t="s">
        <v>18</v>
      </c>
      <c r="I2" t="s">
        <v>19</v>
      </c>
      <c r="J2">
        <v>6</v>
      </c>
      <c r="K2" t="s">
        <v>20</v>
      </c>
      <c r="L2">
        <v>3</v>
      </c>
      <c r="M2">
        <v>8</v>
      </c>
    </row>
    <row r="3" spans="1:13" x14ac:dyDescent="0.3">
      <c r="A3">
        <v>2</v>
      </c>
      <c r="B3">
        <v>22</v>
      </c>
      <c r="C3" t="s">
        <v>21</v>
      </c>
      <c r="D3" t="s">
        <v>22</v>
      </c>
      <c r="E3" t="s">
        <v>23</v>
      </c>
      <c r="F3" t="s">
        <v>24</v>
      </c>
      <c r="G3" t="s">
        <v>25</v>
      </c>
      <c r="H3" t="s">
        <v>26</v>
      </c>
      <c r="I3" t="s">
        <v>27</v>
      </c>
      <c r="J3">
        <v>8</v>
      </c>
      <c r="K3" t="s">
        <v>28</v>
      </c>
      <c r="L3">
        <v>0</v>
      </c>
      <c r="M3">
        <v>3</v>
      </c>
    </row>
    <row r="4" spans="1:13" x14ac:dyDescent="0.3">
      <c r="A4">
        <v>3</v>
      </c>
      <c r="B4">
        <v>20</v>
      </c>
      <c r="C4" t="s">
        <v>13</v>
      </c>
      <c r="D4" t="s">
        <v>14</v>
      </c>
      <c r="E4" t="s">
        <v>29</v>
      </c>
      <c r="F4" t="s">
        <v>30</v>
      </c>
      <c r="G4" t="s">
        <v>31</v>
      </c>
      <c r="H4" t="s">
        <v>18</v>
      </c>
      <c r="I4" t="s">
        <v>32</v>
      </c>
      <c r="J4">
        <v>5</v>
      </c>
      <c r="K4" t="s">
        <v>33</v>
      </c>
      <c r="L4">
        <v>4</v>
      </c>
      <c r="M4">
        <v>9</v>
      </c>
    </row>
    <row r="5" spans="1:13" x14ac:dyDescent="0.3">
      <c r="A5">
        <v>4</v>
      </c>
      <c r="B5">
        <v>18</v>
      </c>
      <c r="C5" t="s">
        <v>21</v>
      </c>
      <c r="D5" t="s">
        <v>34</v>
      </c>
      <c r="E5" t="s">
        <v>35</v>
      </c>
      <c r="F5" t="s">
        <v>36</v>
      </c>
      <c r="G5" t="s">
        <v>37</v>
      </c>
      <c r="H5" t="s">
        <v>26</v>
      </c>
      <c r="I5" t="s">
        <v>38</v>
      </c>
      <c r="J5">
        <v>7</v>
      </c>
      <c r="K5" t="s">
        <v>28</v>
      </c>
      <c r="L5">
        <v>1</v>
      </c>
      <c r="M5">
        <v>4</v>
      </c>
    </row>
    <row r="6" spans="1:13" x14ac:dyDescent="0.3">
      <c r="A6">
        <v>5</v>
      </c>
      <c r="B6">
        <v>21</v>
      </c>
      <c r="C6" t="s">
        <v>21</v>
      </c>
      <c r="D6" t="s">
        <v>22</v>
      </c>
      <c r="E6" t="s">
        <v>39</v>
      </c>
      <c r="F6" t="s">
        <v>40</v>
      </c>
      <c r="G6" t="s">
        <v>41</v>
      </c>
      <c r="H6" t="s">
        <v>18</v>
      </c>
      <c r="I6" t="s">
        <v>30</v>
      </c>
      <c r="J6">
        <v>6</v>
      </c>
      <c r="K6" t="s">
        <v>20</v>
      </c>
      <c r="L6">
        <v>2</v>
      </c>
      <c r="M6">
        <v>7</v>
      </c>
    </row>
    <row r="7" spans="1:13" x14ac:dyDescent="0.3">
      <c r="A7">
        <v>6</v>
      </c>
      <c r="B7">
        <v>19</v>
      </c>
      <c r="C7" t="s">
        <v>13</v>
      </c>
      <c r="D7" t="s">
        <v>14</v>
      </c>
      <c r="E7" t="s">
        <v>42</v>
      </c>
      <c r="F7" t="s">
        <v>43</v>
      </c>
      <c r="G7" t="s">
        <v>17</v>
      </c>
      <c r="H7" t="s">
        <v>18</v>
      </c>
      <c r="I7" t="s">
        <v>40</v>
      </c>
      <c r="J7">
        <v>4</v>
      </c>
      <c r="K7" t="s">
        <v>33</v>
      </c>
      <c r="L7">
        <v>5</v>
      </c>
      <c r="M7">
        <v>9</v>
      </c>
    </row>
    <row r="8" spans="1:13" x14ac:dyDescent="0.3">
      <c r="A8">
        <v>7</v>
      </c>
      <c r="B8">
        <v>23</v>
      </c>
      <c r="C8" t="s">
        <v>21</v>
      </c>
      <c r="D8" t="s">
        <v>22</v>
      </c>
      <c r="E8" t="s">
        <v>44</v>
      </c>
      <c r="F8" t="s">
        <v>45</v>
      </c>
      <c r="G8" t="s">
        <v>46</v>
      </c>
      <c r="H8" t="s">
        <v>26</v>
      </c>
      <c r="I8" t="s">
        <v>47</v>
      </c>
      <c r="J8">
        <v>9</v>
      </c>
      <c r="K8" t="s">
        <v>28</v>
      </c>
      <c r="L8">
        <v>0</v>
      </c>
      <c r="M8">
        <v>2</v>
      </c>
    </row>
    <row r="9" spans="1:13" x14ac:dyDescent="0.3">
      <c r="A9">
        <v>8</v>
      </c>
      <c r="B9">
        <v>20</v>
      </c>
      <c r="C9" t="s">
        <v>13</v>
      </c>
      <c r="D9" t="s">
        <v>14</v>
      </c>
      <c r="E9" t="s">
        <v>48</v>
      </c>
      <c r="F9" t="s">
        <v>49</v>
      </c>
      <c r="G9" t="s">
        <v>50</v>
      </c>
      <c r="H9" t="s">
        <v>18</v>
      </c>
      <c r="I9" t="s">
        <v>30</v>
      </c>
      <c r="J9">
        <v>6</v>
      </c>
      <c r="K9" t="s">
        <v>20</v>
      </c>
      <c r="L9">
        <v>2</v>
      </c>
      <c r="M9">
        <v>8</v>
      </c>
    </row>
    <row r="10" spans="1:13" x14ac:dyDescent="0.3">
      <c r="A10">
        <v>9</v>
      </c>
      <c r="B10">
        <v>18</v>
      </c>
      <c r="C10" t="s">
        <v>21</v>
      </c>
      <c r="D10" t="s">
        <v>34</v>
      </c>
      <c r="E10" t="s">
        <v>51</v>
      </c>
      <c r="F10" t="s">
        <v>52</v>
      </c>
      <c r="G10" t="s">
        <v>31</v>
      </c>
      <c r="H10" t="s">
        <v>26</v>
      </c>
      <c r="I10" t="s">
        <v>19</v>
      </c>
      <c r="J10">
        <v>7</v>
      </c>
      <c r="K10" t="s">
        <v>28</v>
      </c>
      <c r="L10">
        <v>1</v>
      </c>
      <c r="M10">
        <v>5</v>
      </c>
    </row>
    <row r="11" spans="1:13" x14ac:dyDescent="0.3">
      <c r="A11">
        <v>10</v>
      </c>
      <c r="B11">
        <v>21</v>
      </c>
      <c r="C11" t="s">
        <v>13</v>
      </c>
      <c r="D11" t="s">
        <v>22</v>
      </c>
      <c r="E11" t="s">
        <v>53</v>
      </c>
      <c r="F11" t="s">
        <v>54</v>
      </c>
      <c r="G11" t="s">
        <v>17</v>
      </c>
      <c r="H11" t="s">
        <v>26</v>
      </c>
      <c r="I11" t="s">
        <v>38</v>
      </c>
      <c r="J11">
        <v>7</v>
      </c>
      <c r="K11" t="s">
        <v>20</v>
      </c>
      <c r="L11">
        <v>1</v>
      </c>
      <c r="M11">
        <v>4</v>
      </c>
    </row>
    <row r="12" spans="1:13" x14ac:dyDescent="0.3">
      <c r="A12">
        <v>11</v>
      </c>
      <c r="B12">
        <v>19</v>
      </c>
      <c r="C12" t="s">
        <v>21</v>
      </c>
      <c r="D12" t="s">
        <v>14</v>
      </c>
      <c r="E12" t="s">
        <v>55</v>
      </c>
      <c r="F12" t="s">
        <v>56</v>
      </c>
      <c r="G12" t="s">
        <v>50</v>
      </c>
      <c r="H12" t="s">
        <v>18</v>
      </c>
      <c r="I12" t="s">
        <v>57</v>
      </c>
      <c r="J12">
        <v>5</v>
      </c>
      <c r="K12" t="s">
        <v>33</v>
      </c>
      <c r="L12">
        <v>3</v>
      </c>
      <c r="M12">
        <v>7</v>
      </c>
    </row>
    <row r="13" spans="1:13" x14ac:dyDescent="0.3">
      <c r="A13">
        <v>12</v>
      </c>
      <c r="B13">
        <v>20</v>
      </c>
      <c r="C13" t="s">
        <v>13</v>
      </c>
      <c r="D13" t="s">
        <v>14</v>
      </c>
      <c r="E13" t="s">
        <v>58</v>
      </c>
      <c r="F13" t="s">
        <v>59</v>
      </c>
      <c r="G13" t="s">
        <v>31</v>
      </c>
      <c r="H13" t="s">
        <v>18</v>
      </c>
      <c r="I13" t="s">
        <v>49</v>
      </c>
      <c r="J13">
        <v>6</v>
      </c>
      <c r="K13" t="s">
        <v>20</v>
      </c>
      <c r="L13">
        <v>2</v>
      </c>
      <c r="M13">
        <v>8</v>
      </c>
    </row>
    <row r="14" spans="1:13" x14ac:dyDescent="0.3">
      <c r="A14">
        <v>13</v>
      </c>
      <c r="B14">
        <v>22</v>
      </c>
      <c r="C14" t="s">
        <v>21</v>
      </c>
      <c r="D14" t="s">
        <v>22</v>
      </c>
      <c r="E14" t="s">
        <v>60</v>
      </c>
      <c r="F14" t="s">
        <v>61</v>
      </c>
      <c r="G14" t="s">
        <v>46</v>
      </c>
      <c r="H14" t="s">
        <v>26</v>
      </c>
      <c r="I14" t="s">
        <v>43</v>
      </c>
      <c r="J14">
        <v>8</v>
      </c>
      <c r="K14" t="s">
        <v>28</v>
      </c>
      <c r="L14">
        <v>1</v>
      </c>
      <c r="M14">
        <v>4</v>
      </c>
    </row>
    <row r="15" spans="1:13" x14ac:dyDescent="0.3">
      <c r="A15">
        <v>14</v>
      </c>
      <c r="B15">
        <v>18</v>
      </c>
      <c r="C15" t="s">
        <v>13</v>
      </c>
      <c r="D15" t="s">
        <v>34</v>
      </c>
      <c r="E15" t="s">
        <v>62</v>
      </c>
      <c r="F15" t="s">
        <v>19</v>
      </c>
      <c r="G15" t="s">
        <v>17</v>
      </c>
      <c r="H15" t="s">
        <v>18</v>
      </c>
      <c r="I15" t="s">
        <v>59</v>
      </c>
      <c r="J15">
        <v>5</v>
      </c>
      <c r="K15" t="s">
        <v>28</v>
      </c>
      <c r="L15">
        <v>4</v>
      </c>
      <c r="M15">
        <v>9</v>
      </c>
    </row>
    <row r="16" spans="1:13" x14ac:dyDescent="0.3">
      <c r="A16">
        <v>15</v>
      </c>
      <c r="B16">
        <v>21</v>
      </c>
      <c r="C16" t="s">
        <v>21</v>
      </c>
      <c r="D16" t="s">
        <v>14</v>
      </c>
      <c r="E16" t="s">
        <v>63</v>
      </c>
      <c r="F16" t="s">
        <v>64</v>
      </c>
      <c r="G16" t="s">
        <v>37</v>
      </c>
      <c r="H16" t="s">
        <v>26</v>
      </c>
      <c r="I16" t="s">
        <v>65</v>
      </c>
      <c r="J16">
        <v>7</v>
      </c>
      <c r="K16" t="s">
        <v>20</v>
      </c>
      <c r="L16">
        <v>2</v>
      </c>
      <c r="M16">
        <v>5</v>
      </c>
    </row>
    <row r="17" spans="1:13" x14ac:dyDescent="0.3">
      <c r="A17">
        <v>16</v>
      </c>
      <c r="B17">
        <v>20</v>
      </c>
      <c r="C17" t="s">
        <v>13</v>
      </c>
      <c r="D17" t="s">
        <v>14</v>
      </c>
      <c r="E17" t="s">
        <v>66</v>
      </c>
      <c r="F17" t="s">
        <v>67</v>
      </c>
      <c r="G17" t="s">
        <v>31</v>
      </c>
      <c r="H17" t="s">
        <v>18</v>
      </c>
      <c r="I17" t="s">
        <v>30</v>
      </c>
      <c r="J17">
        <v>6</v>
      </c>
      <c r="K17" t="s">
        <v>33</v>
      </c>
      <c r="L17">
        <v>3</v>
      </c>
      <c r="M17">
        <v>7</v>
      </c>
    </row>
    <row r="18" spans="1:13" x14ac:dyDescent="0.3">
      <c r="A18">
        <v>17</v>
      </c>
      <c r="B18">
        <v>24</v>
      </c>
      <c r="C18" t="s">
        <v>21</v>
      </c>
      <c r="D18" t="s">
        <v>22</v>
      </c>
      <c r="E18" t="s">
        <v>68</v>
      </c>
      <c r="F18" t="s">
        <v>69</v>
      </c>
      <c r="G18" t="s">
        <v>46</v>
      </c>
      <c r="H18" t="s">
        <v>26</v>
      </c>
      <c r="I18" t="s">
        <v>70</v>
      </c>
      <c r="J18">
        <v>8</v>
      </c>
      <c r="K18" t="s">
        <v>28</v>
      </c>
      <c r="L18">
        <v>0</v>
      </c>
      <c r="M18">
        <v>3</v>
      </c>
    </row>
    <row r="19" spans="1:13" x14ac:dyDescent="0.3">
      <c r="A19">
        <v>18</v>
      </c>
      <c r="B19">
        <v>19</v>
      </c>
      <c r="C19" t="s">
        <v>13</v>
      </c>
      <c r="D19" t="s">
        <v>34</v>
      </c>
      <c r="E19" t="s">
        <v>71</v>
      </c>
      <c r="F19" t="s">
        <v>32</v>
      </c>
      <c r="G19" t="s">
        <v>17</v>
      </c>
      <c r="H19" t="s">
        <v>18</v>
      </c>
      <c r="I19" t="s">
        <v>72</v>
      </c>
      <c r="J19">
        <v>5</v>
      </c>
      <c r="K19" t="s">
        <v>20</v>
      </c>
      <c r="L19">
        <v>3</v>
      </c>
      <c r="M19">
        <v>8</v>
      </c>
    </row>
    <row r="20" spans="1:13" x14ac:dyDescent="0.3">
      <c r="A20">
        <v>19</v>
      </c>
      <c r="B20">
        <v>21</v>
      </c>
      <c r="C20" t="s">
        <v>21</v>
      </c>
      <c r="D20" t="s">
        <v>14</v>
      </c>
      <c r="E20" t="s">
        <v>73</v>
      </c>
      <c r="F20" t="s">
        <v>74</v>
      </c>
      <c r="G20" t="s">
        <v>41</v>
      </c>
      <c r="H20" t="s">
        <v>26</v>
      </c>
      <c r="I20" t="s">
        <v>75</v>
      </c>
      <c r="J20">
        <v>7</v>
      </c>
      <c r="K20" t="s">
        <v>28</v>
      </c>
      <c r="L20">
        <v>1</v>
      </c>
      <c r="M20">
        <v>5</v>
      </c>
    </row>
    <row r="21" spans="1:13" x14ac:dyDescent="0.3">
      <c r="A21">
        <v>20</v>
      </c>
      <c r="B21">
        <v>20</v>
      </c>
      <c r="C21" t="s">
        <v>13</v>
      </c>
      <c r="D21" t="s">
        <v>14</v>
      </c>
      <c r="E21" t="s">
        <v>76</v>
      </c>
      <c r="F21" t="s">
        <v>77</v>
      </c>
      <c r="G21" t="s">
        <v>50</v>
      </c>
      <c r="H21" t="s">
        <v>18</v>
      </c>
      <c r="I21" t="s">
        <v>78</v>
      </c>
      <c r="J21">
        <v>6</v>
      </c>
      <c r="K21" t="s">
        <v>33</v>
      </c>
      <c r="L21">
        <v>3</v>
      </c>
      <c r="M21">
        <v>7</v>
      </c>
    </row>
    <row r="22" spans="1:13" x14ac:dyDescent="0.3">
      <c r="A22">
        <v>21</v>
      </c>
      <c r="B22">
        <v>18</v>
      </c>
      <c r="C22" t="s">
        <v>21</v>
      </c>
      <c r="D22" t="s">
        <v>34</v>
      </c>
      <c r="E22" t="s">
        <v>79</v>
      </c>
      <c r="F22" t="s">
        <v>80</v>
      </c>
      <c r="G22" t="s">
        <v>31</v>
      </c>
      <c r="H22" t="s">
        <v>18</v>
      </c>
      <c r="I22" t="s">
        <v>59</v>
      </c>
      <c r="J22">
        <v>5</v>
      </c>
      <c r="K22" t="s">
        <v>28</v>
      </c>
      <c r="L22">
        <v>4</v>
      </c>
      <c r="M22">
        <v>8</v>
      </c>
    </row>
    <row r="23" spans="1:13" x14ac:dyDescent="0.3">
      <c r="A23">
        <v>22</v>
      </c>
      <c r="B23">
        <v>23</v>
      </c>
      <c r="C23" t="s">
        <v>13</v>
      </c>
      <c r="D23" t="s">
        <v>22</v>
      </c>
      <c r="E23" t="s">
        <v>81</v>
      </c>
      <c r="F23" t="s">
        <v>82</v>
      </c>
      <c r="G23" t="s">
        <v>46</v>
      </c>
      <c r="H23" t="s">
        <v>26</v>
      </c>
      <c r="I23" t="s">
        <v>83</v>
      </c>
      <c r="J23">
        <v>8</v>
      </c>
      <c r="K23" t="s">
        <v>20</v>
      </c>
      <c r="L23">
        <v>1</v>
      </c>
      <c r="M23">
        <v>4</v>
      </c>
    </row>
    <row r="24" spans="1:13" x14ac:dyDescent="0.3">
      <c r="A24">
        <v>23</v>
      </c>
      <c r="B24">
        <v>19</v>
      </c>
      <c r="C24" t="s">
        <v>21</v>
      </c>
      <c r="D24" t="s">
        <v>14</v>
      </c>
      <c r="E24" t="s">
        <v>84</v>
      </c>
      <c r="F24" t="s">
        <v>85</v>
      </c>
      <c r="G24" t="s">
        <v>17</v>
      </c>
      <c r="H24" t="s">
        <v>18</v>
      </c>
      <c r="I24" t="s">
        <v>49</v>
      </c>
      <c r="J24">
        <v>6</v>
      </c>
      <c r="K24" t="s">
        <v>33</v>
      </c>
      <c r="L24">
        <v>3</v>
      </c>
      <c r="M24">
        <v>7</v>
      </c>
    </row>
    <row r="25" spans="1:13" x14ac:dyDescent="0.3">
      <c r="A25">
        <v>24</v>
      </c>
      <c r="B25">
        <v>20</v>
      </c>
      <c r="C25" t="s">
        <v>13</v>
      </c>
      <c r="D25" t="s">
        <v>14</v>
      </c>
      <c r="E25" t="s">
        <v>86</v>
      </c>
      <c r="F25" t="s">
        <v>72</v>
      </c>
      <c r="G25" t="s">
        <v>31</v>
      </c>
      <c r="H25" t="s">
        <v>18</v>
      </c>
      <c r="I25" t="s">
        <v>87</v>
      </c>
      <c r="J25">
        <v>5</v>
      </c>
      <c r="K25" t="s">
        <v>28</v>
      </c>
      <c r="L25">
        <v>4</v>
      </c>
      <c r="M25">
        <v>8</v>
      </c>
    </row>
    <row r="26" spans="1:13" x14ac:dyDescent="0.3">
      <c r="A26">
        <v>25</v>
      </c>
      <c r="B26">
        <v>22</v>
      </c>
      <c r="C26" t="s">
        <v>21</v>
      </c>
      <c r="D26" t="s">
        <v>22</v>
      </c>
      <c r="E26" t="s">
        <v>88</v>
      </c>
      <c r="F26" t="s">
        <v>89</v>
      </c>
      <c r="G26" t="s">
        <v>41</v>
      </c>
      <c r="H26" t="s">
        <v>26</v>
      </c>
      <c r="I26" t="s">
        <v>90</v>
      </c>
      <c r="J26">
        <v>7</v>
      </c>
      <c r="K26" t="s">
        <v>20</v>
      </c>
      <c r="L26">
        <v>2</v>
      </c>
      <c r="M26">
        <v>5</v>
      </c>
    </row>
    <row r="27" spans="1:13" x14ac:dyDescent="0.3">
      <c r="A27">
        <v>26</v>
      </c>
      <c r="B27">
        <v>19</v>
      </c>
      <c r="C27" t="s">
        <v>13</v>
      </c>
      <c r="D27" t="s">
        <v>34</v>
      </c>
      <c r="E27" t="s">
        <v>91</v>
      </c>
      <c r="F27" t="s">
        <v>92</v>
      </c>
      <c r="G27" t="s">
        <v>17</v>
      </c>
      <c r="H27" t="s">
        <v>18</v>
      </c>
      <c r="I27" t="s">
        <v>16</v>
      </c>
      <c r="J27">
        <v>5</v>
      </c>
      <c r="K27" t="s">
        <v>33</v>
      </c>
      <c r="L27">
        <v>4</v>
      </c>
      <c r="M27">
        <v>9</v>
      </c>
    </row>
    <row r="28" spans="1:13" x14ac:dyDescent="0.3">
      <c r="A28">
        <v>27</v>
      </c>
      <c r="B28">
        <v>21</v>
      </c>
      <c r="C28" t="s">
        <v>21</v>
      </c>
      <c r="D28" t="s">
        <v>14</v>
      </c>
      <c r="E28" t="s">
        <v>93</v>
      </c>
      <c r="F28" t="s">
        <v>94</v>
      </c>
      <c r="G28" t="s">
        <v>37</v>
      </c>
      <c r="H28" t="s">
        <v>26</v>
      </c>
      <c r="I28" t="s">
        <v>95</v>
      </c>
      <c r="J28">
        <v>7</v>
      </c>
      <c r="K28" t="s">
        <v>28</v>
      </c>
      <c r="L28">
        <v>1</v>
      </c>
      <c r="M28">
        <v>5</v>
      </c>
    </row>
    <row r="29" spans="1:13" x14ac:dyDescent="0.3">
      <c r="A29">
        <v>28</v>
      </c>
      <c r="B29">
        <v>20</v>
      </c>
      <c r="C29" t="s">
        <v>13</v>
      </c>
      <c r="D29" t="s">
        <v>14</v>
      </c>
      <c r="E29" t="s">
        <v>96</v>
      </c>
      <c r="F29" t="s">
        <v>97</v>
      </c>
      <c r="G29" t="s">
        <v>31</v>
      </c>
      <c r="H29" t="s">
        <v>18</v>
      </c>
      <c r="I29" t="s">
        <v>78</v>
      </c>
      <c r="J29">
        <v>6</v>
      </c>
      <c r="K29" t="s">
        <v>20</v>
      </c>
      <c r="L29">
        <v>3</v>
      </c>
      <c r="M29">
        <v>7</v>
      </c>
    </row>
    <row r="30" spans="1:13" x14ac:dyDescent="0.3">
      <c r="A30">
        <v>29</v>
      </c>
      <c r="B30">
        <v>24</v>
      </c>
      <c r="C30" t="s">
        <v>21</v>
      </c>
      <c r="D30" t="s">
        <v>22</v>
      </c>
      <c r="E30" t="s">
        <v>98</v>
      </c>
      <c r="F30" t="s">
        <v>99</v>
      </c>
      <c r="G30" t="s">
        <v>46</v>
      </c>
      <c r="H30" t="s">
        <v>26</v>
      </c>
      <c r="I30" t="s">
        <v>100</v>
      </c>
      <c r="J30">
        <v>8</v>
      </c>
      <c r="K30" t="s">
        <v>28</v>
      </c>
      <c r="L30">
        <v>0</v>
      </c>
      <c r="M30">
        <v>3</v>
      </c>
    </row>
    <row r="31" spans="1:13" x14ac:dyDescent="0.3">
      <c r="A31">
        <v>30</v>
      </c>
      <c r="B31">
        <v>19</v>
      </c>
      <c r="C31" t="s">
        <v>13</v>
      </c>
      <c r="D31" t="s">
        <v>34</v>
      </c>
      <c r="E31" t="s">
        <v>101</v>
      </c>
      <c r="F31" t="s">
        <v>78</v>
      </c>
      <c r="G31" t="s">
        <v>17</v>
      </c>
      <c r="H31" t="s">
        <v>18</v>
      </c>
      <c r="I31" t="s">
        <v>80</v>
      </c>
      <c r="J31">
        <v>5</v>
      </c>
      <c r="K31" t="s">
        <v>33</v>
      </c>
      <c r="L31">
        <v>4</v>
      </c>
      <c r="M31">
        <v>8</v>
      </c>
    </row>
    <row r="32" spans="1:13" x14ac:dyDescent="0.3">
      <c r="A32">
        <v>31</v>
      </c>
      <c r="B32">
        <v>21</v>
      </c>
      <c r="C32" t="s">
        <v>21</v>
      </c>
      <c r="D32" t="s">
        <v>14</v>
      </c>
      <c r="E32" t="s">
        <v>102</v>
      </c>
      <c r="F32" t="s">
        <v>103</v>
      </c>
      <c r="G32" t="s">
        <v>41</v>
      </c>
      <c r="H32" t="s">
        <v>26</v>
      </c>
      <c r="I32" t="s">
        <v>75</v>
      </c>
      <c r="J32">
        <v>7</v>
      </c>
      <c r="K32" t="s">
        <v>28</v>
      </c>
      <c r="L32">
        <v>1</v>
      </c>
      <c r="M32">
        <v>5</v>
      </c>
    </row>
    <row r="33" spans="1:13" x14ac:dyDescent="0.3">
      <c r="A33">
        <v>32</v>
      </c>
      <c r="B33">
        <v>20</v>
      </c>
      <c r="C33" t="s">
        <v>13</v>
      </c>
      <c r="D33" t="s">
        <v>14</v>
      </c>
      <c r="E33" t="s">
        <v>104</v>
      </c>
      <c r="F33" t="s">
        <v>56</v>
      </c>
      <c r="G33" t="s">
        <v>50</v>
      </c>
      <c r="H33" t="s">
        <v>18</v>
      </c>
      <c r="I33" t="s">
        <v>72</v>
      </c>
      <c r="J33">
        <v>6</v>
      </c>
      <c r="K33" t="s">
        <v>20</v>
      </c>
      <c r="L33">
        <v>3</v>
      </c>
      <c r="M33">
        <v>7</v>
      </c>
    </row>
    <row r="34" spans="1:13" x14ac:dyDescent="0.3">
      <c r="A34">
        <v>33</v>
      </c>
      <c r="B34">
        <v>18</v>
      </c>
      <c r="C34" t="s">
        <v>21</v>
      </c>
      <c r="D34" t="s">
        <v>34</v>
      </c>
      <c r="E34" t="s">
        <v>105</v>
      </c>
      <c r="F34" t="s">
        <v>87</v>
      </c>
      <c r="G34" t="s">
        <v>31</v>
      </c>
      <c r="H34" t="s">
        <v>18</v>
      </c>
      <c r="I34" t="s">
        <v>87</v>
      </c>
      <c r="J34">
        <v>5</v>
      </c>
      <c r="K34" t="s">
        <v>33</v>
      </c>
      <c r="L34">
        <v>4</v>
      </c>
      <c r="M34">
        <v>8</v>
      </c>
    </row>
    <row r="35" spans="1:13" x14ac:dyDescent="0.3">
      <c r="A35">
        <v>34</v>
      </c>
      <c r="B35">
        <v>23</v>
      </c>
      <c r="C35" t="s">
        <v>13</v>
      </c>
      <c r="D35" t="s">
        <v>22</v>
      </c>
      <c r="E35" t="s">
        <v>106</v>
      </c>
      <c r="F35" t="s">
        <v>107</v>
      </c>
      <c r="G35" t="s">
        <v>46</v>
      </c>
      <c r="H35" t="s">
        <v>26</v>
      </c>
      <c r="I35" t="s">
        <v>43</v>
      </c>
      <c r="J35">
        <v>8</v>
      </c>
      <c r="K35" t="s">
        <v>28</v>
      </c>
      <c r="L35">
        <v>1</v>
      </c>
      <c r="M35">
        <v>4</v>
      </c>
    </row>
    <row r="36" spans="1:13" x14ac:dyDescent="0.3">
      <c r="A36">
        <v>35</v>
      </c>
      <c r="B36">
        <v>19</v>
      </c>
      <c r="C36" t="s">
        <v>21</v>
      </c>
      <c r="D36" t="s">
        <v>14</v>
      </c>
      <c r="E36" t="s">
        <v>108</v>
      </c>
      <c r="F36" t="s">
        <v>77</v>
      </c>
      <c r="G36" t="s">
        <v>17</v>
      </c>
      <c r="H36" t="s">
        <v>18</v>
      </c>
      <c r="I36" t="s">
        <v>49</v>
      </c>
      <c r="J36">
        <v>6</v>
      </c>
      <c r="K36" t="s">
        <v>20</v>
      </c>
      <c r="L36">
        <v>3</v>
      </c>
      <c r="M36">
        <v>7</v>
      </c>
    </row>
    <row r="37" spans="1:13" x14ac:dyDescent="0.3">
      <c r="A37">
        <v>36</v>
      </c>
      <c r="B37">
        <v>20</v>
      </c>
      <c r="C37" t="s">
        <v>13</v>
      </c>
      <c r="D37" t="s">
        <v>14</v>
      </c>
      <c r="E37" t="s">
        <v>109</v>
      </c>
      <c r="F37" t="s">
        <v>110</v>
      </c>
      <c r="G37" t="s">
        <v>31</v>
      </c>
      <c r="H37" t="s">
        <v>18</v>
      </c>
      <c r="I37" t="s">
        <v>59</v>
      </c>
      <c r="J37">
        <v>5</v>
      </c>
      <c r="K37" t="s">
        <v>33</v>
      </c>
      <c r="L37">
        <v>4</v>
      </c>
      <c r="M37">
        <v>8</v>
      </c>
    </row>
    <row r="38" spans="1:13" x14ac:dyDescent="0.3">
      <c r="A38">
        <v>37</v>
      </c>
      <c r="B38">
        <v>22</v>
      </c>
      <c r="C38" t="s">
        <v>21</v>
      </c>
      <c r="D38" t="s">
        <v>22</v>
      </c>
      <c r="E38" t="s">
        <v>111</v>
      </c>
      <c r="F38" t="s">
        <v>112</v>
      </c>
      <c r="G38" t="s">
        <v>41</v>
      </c>
      <c r="H38" t="s">
        <v>26</v>
      </c>
      <c r="I38" t="s">
        <v>65</v>
      </c>
      <c r="J38">
        <v>7</v>
      </c>
      <c r="K38" t="s">
        <v>28</v>
      </c>
      <c r="L38">
        <v>1</v>
      </c>
      <c r="M38">
        <v>5</v>
      </c>
    </row>
    <row r="39" spans="1:13" x14ac:dyDescent="0.3">
      <c r="A39">
        <v>38</v>
      </c>
      <c r="B39">
        <v>19</v>
      </c>
      <c r="C39" t="s">
        <v>13</v>
      </c>
      <c r="D39" t="s">
        <v>34</v>
      </c>
      <c r="E39" t="s">
        <v>113</v>
      </c>
      <c r="F39" t="s">
        <v>57</v>
      </c>
      <c r="G39" t="s">
        <v>17</v>
      </c>
      <c r="H39" t="s">
        <v>18</v>
      </c>
      <c r="I39" t="s">
        <v>114</v>
      </c>
      <c r="J39">
        <v>5</v>
      </c>
      <c r="K39" t="s">
        <v>20</v>
      </c>
      <c r="L39">
        <v>4</v>
      </c>
      <c r="M39">
        <v>9</v>
      </c>
    </row>
    <row r="40" spans="1:13" x14ac:dyDescent="0.3">
      <c r="A40">
        <v>39</v>
      </c>
      <c r="B40">
        <v>21</v>
      </c>
      <c r="C40" t="s">
        <v>21</v>
      </c>
      <c r="D40" t="s">
        <v>14</v>
      </c>
      <c r="E40" t="s">
        <v>115</v>
      </c>
      <c r="F40" t="s">
        <v>116</v>
      </c>
      <c r="G40" t="s">
        <v>37</v>
      </c>
      <c r="H40" t="s">
        <v>26</v>
      </c>
      <c r="I40" t="s">
        <v>19</v>
      </c>
      <c r="J40">
        <v>7</v>
      </c>
      <c r="K40" t="s">
        <v>33</v>
      </c>
      <c r="L40">
        <v>2</v>
      </c>
      <c r="M40">
        <v>6</v>
      </c>
    </row>
    <row r="41" spans="1:13" x14ac:dyDescent="0.3">
      <c r="A41">
        <v>40</v>
      </c>
      <c r="B41">
        <v>20</v>
      </c>
      <c r="C41" t="s">
        <v>13</v>
      </c>
      <c r="D41" t="s">
        <v>14</v>
      </c>
      <c r="E41" t="s">
        <v>117</v>
      </c>
      <c r="F41" t="s">
        <v>40</v>
      </c>
      <c r="G41" t="s">
        <v>31</v>
      </c>
      <c r="H41" t="s">
        <v>18</v>
      </c>
      <c r="I41" t="s">
        <v>49</v>
      </c>
      <c r="J41">
        <v>6</v>
      </c>
      <c r="K41" t="s">
        <v>28</v>
      </c>
      <c r="L41">
        <v>3</v>
      </c>
      <c r="M41">
        <v>7</v>
      </c>
    </row>
    <row r="42" spans="1:13" x14ac:dyDescent="0.3">
      <c r="A42">
        <v>41</v>
      </c>
      <c r="B42">
        <v>24</v>
      </c>
      <c r="C42" t="s">
        <v>21</v>
      </c>
      <c r="D42" t="s">
        <v>22</v>
      </c>
      <c r="E42" t="s">
        <v>118</v>
      </c>
      <c r="F42" t="s">
        <v>119</v>
      </c>
      <c r="G42" t="s">
        <v>46</v>
      </c>
      <c r="H42" t="s">
        <v>26</v>
      </c>
      <c r="I42" t="s">
        <v>83</v>
      </c>
      <c r="J42">
        <v>8</v>
      </c>
      <c r="K42" t="s">
        <v>20</v>
      </c>
      <c r="L42">
        <v>1</v>
      </c>
      <c r="M42">
        <v>4</v>
      </c>
    </row>
    <row r="43" spans="1:13" x14ac:dyDescent="0.3">
      <c r="A43">
        <v>42</v>
      </c>
      <c r="B43">
        <v>19</v>
      </c>
      <c r="C43" t="s">
        <v>13</v>
      </c>
      <c r="D43" t="s">
        <v>34</v>
      </c>
      <c r="E43" t="s">
        <v>120</v>
      </c>
      <c r="F43" t="s">
        <v>49</v>
      </c>
      <c r="G43" t="s">
        <v>17</v>
      </c>
      <c r="H43" t="s">
        <v>18</v>
      </c>
      <c r="I43" t="s">
        <v>87</v>
      </c>
      <c r="J43">
        <v>5</v>
      </c>
      <c r="K43" t="s">
        <v>33</v>
      </c>
      <c r="L43">
        <v>4</v>
      </c>
      <c r="M43">
        <v>8</v>
      </c>
    </row>
    <row r="44" spans="1:13" x14ac:dyDescent="0.3">
      <c r="A44">
        <v>43</v>
      </c>
      <c r="B44">
        <v>21</v>
      </c>
      <c r="C44" t="s">
        <v>21</v>
      </c>
      <c r="D44" t="s">
        <v>14</v>
      </c>
      <c r="E44" t="s">
        <v>121</v>
      </c>
      <c r="F44" t="s">
        <v>64</v>
      </c>
      <c r="G44" t="s">
        <v>41</v>
      </c>
      <c r="H44" t="s">
        <v>26</v>
      </c>
      <c r="I44" t="s">
        <v>95</v>
      </c>
      <c r="J44">
        <v>7</v>
      </c>
      <c r="K44" t="s">
        <v>28</v>
      </c>
      <c r="L44">
        <v>2</v>
      </c>
      <c r="M44">
        <v>5</v>
      </c>
    </row>
    <row r="45" spans="1:13" x14ac:dyDescent="0.3">
      <c r="A45">
        <v>44</v>
      </c>
      <c r="B45">
        <v>20</v>
      </c>
      <c r="C45" t="s">
        <v>13</v>
      </c>
      <c r="D45" t="s">
        <v>14</v>
      </c>
      <c r="E45" t="s">
        <v>122</v>
      </c>
      <c r="F45" t="s">
        <v>123</v>
      </c>
      <c r="G45" t="s">
        <v>50</v>
      </c>
      <c r="H45" t="s">
        <v>18</v>
      </c>
      <c r="I45" t="s">
        <v>72</v>
      </c>
      <c r="J45">
        <v>6</v>
      </c>
      <c r="K45" t="s">
        <v>20</v>
      </c>
      <c r="L45">
        <v>3</v>
      </c>
      <c r="M45">
        <v>7</v>
      </c>
    </row>
    <row r="46" spans="1:13" x14ac:dyDescent="0.3">
      <c r="A46">
        <v>45</v>
      </c>
      <c r="B46">
        <v>18</v>
      </c>
      <c r="C46" t="s">
        <v>21</v>
      </c>
      <c r="D46" t="s">
        <v>34</v>
      </c>
      <c r="E46" t="s">
        <v>124</v>
      </c>
      <c r="F46" t="s">
        <v>59</v>
      </c>
      <c r="G46" t="s">
        <v>31</v>
      </c>
      <c r="H46" t="s">
        <v>18</v>
      </c>
      <c r="I46" t="s">
        <v>80</v>
      </c>
      <c r="J46">
        <v>5</v>
      </c>
      <c r="K46" t="s">
        <v>28</v>
      </c>
      <c r="L46">
        <v>4</v>
      </c>
      <c r="M46">
        <v>8</v>
      </c>
    </row>
    <row r="47" spans="1:13" x14ac:dyDescent="0.3">
      <c r="A47">
        <v>46</v>
      </c>
      <c r="B47">
        <v>23</v>
      </c>
      <c r="C47" t="s">
        <v>13</v>
      </c>
      <c r="D47" t="s">
        <v>22</v>
      </c>
      <c r="E47" t="s">
        <v>125</v>
      </c>
      <c r="F47" t="s">
        <v>126</v>
      </c>
      <c r="G47" t="s">
        <v>46</v>
      </c>
      <c r="H47" t="s">
        <v>26</v>
      </c>
      <c r="I47" t="s">
        <v>127</v>
      </c>
      <c r="J47">
        <v>8</v>
      </c>
      <c r="K47" t="s">
        <v>33</v>
      </c>
      <c r="L47">
        <v>1</v>
      </c>
      <c r="M47">
        <v>4</v>
      </c>
    </row>
    <row r="48" spans="1:13" x14ac:dyDescent="0.3">
      <c r="A48">
        <v>47</v>
      </c>
      <c r="B48">
        <v>19</v>
      </c>
      <c r="C48" t="s">
        <v>21</v>
      </c>
      <c r="D48" t="s">
        <v>14</v>
      </c>
      <c r="E48" t="s">
        <v>128</v>
      </c>
      <c r="F48" t="s">
        <v>56</v>
      </c>
      <c r="G48" t="s">
        <v>17</v>
      </c>
      <c r="H48" t="s">
        <v>18</v>
      </c>
      <c r="I48" t="s">
        <v>78</v>
      </c>
      <c r="J48">
        <v>6</v>
      </c>
      <c r="K48" t="s">
        <v>20</v>
      </c>
      <c r="L48">
        <v>3</v>
      </c>
      <c r="M48">
        <v>7</v>
      </c>
    </row>
    <row r="49" spans="1:13" x14ac:dyDescent="0.3">
      <c r="A49">
        <v>48</v>
      </c>
      <c r="B49">
        <v>20</v>
      </c>
      <c r="C49" t="s">
        <v>13</v>
      </c>
      <c r="D49" t="s">
        <v>14</v>
      </c>
      <c r="E49" t="s">
        <v>129</v>
      </c>
      <c r="F49" t="s">
        <v>59</v>
      </c>
      <c r="G49" t="s">
        <v>31</v>
      </c>
      <c r="H49" t="s">
        <v>18</v>
      </c>
      <c r="I49" t="s">
        <v>110</v>
      </c>
      <c r="J49">
        <v>5</v>
      </c>
      <c r="K49" t="s">
        <v>28</v>
      </c>
      <c r="L49">
        <v>4</v>
      </c>
      <c r="M49">
        <v>8</v>
      </c>
    </row>
    <row r="50" spans="1:13" x14ac:dyDescent="0.3">
      <c r="A50">
        <v>49</v>
      </c>
      <c r="B50">
        <v>22</v>
      </c>
      <c r="C50" t="s">
        <v>21</v>
      </c>
      <c r="D50" t="s">
        <v>22</v>
      </c>
      <c r="E50" t="s">
        <v>130</v>
      </c>
      <c r="F50" t="s">
        <v>54</v>
      </c>
      <c r="G50" t="s">
        <v>41</v>
      </c>
      <c r="H50" t="s">
        <v>26</v>
      </c>
      <c r="I50" t="s">
        <v>75</v>
      </c>
      <c r="J50">
        <v>7</v>
      </c>
      <c r="K50" t="s">
        <v>20</v>
      </c>
      <c r="L50">
        <v>2</v>
      </c>
      <c r="M50">
        <v>5</v>
      </c>
    </row>
    <row r="51" spans="1:13" x14ac:dyDescent="0.3">
      <c r="A51">
        <v>50</v>
      </c>
      <c r="B51">
        <v>19</v>
      </c>
      <c r="C51" t="s">
        <v>13</v>
      </c>
      <c r="D51" t="s">
        <v>34</v>
      </c>
      <c r="E51" t="s">
        <v>131</v>
      </c>
      <c r="F51" t="s">
        <v>132</v>
      </c>
      <c r="G51" t="s">
        <v>17</v>
      </c>
      <c r="H51" t="s">
        <v>18</v>
      </c>
      <c r="I51" t="s">
        <v>16</v>
      </c>
      <c r="J51">
        <v>5</v>
      </c>
      <c r="K51" t="s">
        <v>33</v>
      </c>
      <c r="L51">
        <v>4</v>
      </c>
      <c r="M51">
        <v>9</v>
      </c>
    </row>
    <row r="52" spans="1:13" x14ac:dyDescent="0.3">
      <c r="A52">
        <v>51</v>
      </c>
      <c r="B52">
        <v>21</v>
      </c>
      <c r="C52" t="s">
        <v>21</v>
      </c>
      <c r="D52" t="s">
        <v>14</v>
      </c>
      <c r="E52" t="s">
        <v>133</v>
      </c>
      <c r="F52" t="s">
        <v>94</v>
      </c>
      <c r="G52" t="s">
        <v>37</v>
      </c>
      <c r="H52" t="s">
        <v>26</v>
      </c>
      <c r="I52" t="s">
        <v>134</v>
      </c>
      <c r="J52">
        <v>7</v>
      </c>
      <c r="K52" t="s">
        <v>28</v>
      </c>
      <c r="L52">
        <v>2</v>
      </c>
      <c r="M52">
        <v>6</v>
      </c>
    </row>
    <row r="53" spans="1:13" x14ac:dyDescent="0.3">
      <c r="A53">
        <v>52</v>
      </c>
      <c r="B53">
        <v>20</v>
      </c>
      <c r="C53" t="s">
        <v>13</v>
      </c>
      <c r="D53" t="s">
        <v>14</v>
      </c>
      <c r="E53" t="s">
        <v>135</v>
      </c>
      <c r="F53" t="s">
        <v>77</v>
      </c>
      <c r="G53" t="s">
        <v>31</v>
      </c>
      <c r="H53" t="s">
        <v>18</v>
      </c>
      <c r="I53" t="s">
        <v>49</v>
      </c>
      <c r="J53">
        <v>6</v>
      </c>
      <c r="K53" t="s">
        <v>20</v>
      </c>
      <c r="L53">
        <v>3</v>
      </c>
      <c r="M53">
        <v>7</v>
      </c>
    </row>
    <row r="54" spans="1:13" x14ac:dyDescent="0.3">
      <c r="A54">
        <v>53</v>
      </c>
      <c r="B54">
        <v>24</v>
      </c>
      <c r="C54" t="s">
        <v>21</v>
      </c>
      <c r="D54" t="s">
        <v>22</v>
      </c>
      <c r="E54" t="s">
        <v>136</v>
      </c>
      <c r="F54" t="s">
        <v>137</v>
      </c>
      <c r="G54" t="s">
        <v>46</v>
      </c>
      <c r="H54" t="s">
        <v>26</v>
      </c>
      <c r="I54" t="s">
        <v>43</v>
      </c>
      <c r="J54">
        <v>8</v>
      </c>
      <c r="K54" t="s">
        <v>33</v>
      </c>
      <c r="L54">
        <v>1</v>
      </c>
      <c r="M54">
        <v>4</v>
      </c>
    </row>
    <row r="55" spans="1:13" x14ac:dyDescent="0.3">
      <c r="A55">
        <v>54</v>
      </c>
      <c r="B55">
        <v>19</v>
      </c>
      <c r="C55" t="s">
        <v>13</v>
      </c>
      <c r="D55" t="s">
        <v>34</v>
      </c>
      <c r="E55" t="s">
        <v>138</v>
      </c>
      <c r="F55" t="s">
        <v>72</v>
      </c>
      <c r="G55" t="s">
        <v>17</v>
      </c>
      <c r="H55" t="s">
        <v>18</v>
      </c>
      <c r="I55" t="s">
        <v>59</v>
      </c>
      <c r="J55">
        <v>5</v>
      </c>
      <c r="K55" t="s">
        <v>28</v>
      </c>
      <c r="L55">
        <v>4</v>
      </c>
      <c r="M55">
        <v>8</v>
      </c>
    </row>
    <row r="56" spans="1:13" x14ac:dyDescent="0.3">
      <c r="A56">
        <v>55</v>
      </c>
      <c r="B56">
        <v>21</v>
      </c>
      <c r="C56" t="s">
        <v>21</v>
      </c>
      <c r="D56" t="s">
        <v>14</v>
      </c>
      <c r="E56" t="s">
        <v>139</v>
      </c>
      <c r="F56" t="s">
        <v>103</v>
      </c>
      <c r="G56" t="s">
        <v>41</v>
      </c>
      <c r="H56" t="s">
        <v>26</v>
      </c>
      <c r="I56" t="s">
        <v>19</v>
      </c>
      <c r="J56">
        <v>7</v>
      </c>
      <c r="K56" t="s">
        <v>20</v>
      </c>
      <c r="L56">
        <v>2</v>
      </c>
      <c r="M56">
        <v>5</v>
      </c>
    </row>
    <row r="57" spans="1:13" x14ac:dyDescent="0.3">
      <c r="A57">
        <v>56</v>
      </c>
      <c r="B57">
        <v>20</v>
      </c>
      <c r="C57" t="s">
        <v>13</v>
      </c>
      <c r="D57" t="s">
        <v>14</v>
      </c>
      <c r="E57" t="s">
        <v>140</v>
      </c>
      <c r="F57" t="s">
        <v>85</v>
      </c>
      <c r="G57" t="s">
        <v>50</v>
      </c>
      <c r="H57" t="s">
        <v>18</v>
      </c>
      <c r="I57" t="s">
        <v>110</v>
      </c>
      <c r="J57">
        <v>6</v>
      </c>
      <c r="K57" t="s">
        <v>33</v>
      </c>
      <c r="L57">
        <v>3</v>
      </c>
      <c r="M57">
        <v>7</v>
      </c>
    </row>
    <row r="58" spans="1:13" x14ac:dyDescent="0.3">
      <c r="A58">
        <v>57</v>
      </c>
      <c r="B58">
        <v>18</v>
      </c>
      <c r="C58" t="s">
        <v>21</v>
      </c>
      <c r="D58" t="s">
        <v>34</v>
      </c>
      <c r="E58" t="s">
        <v>141</v>
      </c>
      <c r="F58" t="s">
        <v>110</v>
      </c>
      <c r="G58" t="s">
        <v>31</v>
      </c>
      <c r="H58" t="s">
        <v>18</v>
      </c>
      <c r="I58" t="s">
        <v>16</v>
      </c>
      <c r="J58">
        <v>5</v>
      </c>
      <c r="K58" t="s">
        <v>28</v>
      </c>
      <c r="L58">
        <v>4</v>
      </c>
      <c r="M58">
        <v>8</v>
      </c>
    </row>
    <row r="59" spans="1:13" x14ac:dyDescent="0.3">
      <c r="A59">
        <v>58</v>
      </c>
      <c r="B59">
        <v>23</v>
      </c>
      <c r="C59" t="s">
        <v>13</v>
      </c>
      <c r="D59" t="s">
        <v>22</v>
      </c>
      <c r="E59" t="s">
        <v>142</v>
      </c>
      <c r="F59" t="s">
        <v>61</v>
      </c>
      <c r="G59" t="s">
        <v>46</v>
      </c>
      <c r="H59" t="s">
        <v>26</v>
      </c>
      <c r="I59" t="s">
        <v>38</v>
      </c>
      <c r="J59">
        <v>8</v>
      </c>
      <c r="K59" t="s">
        <v>20</v>
      </c>
      <c r="L59">
        <v>1</v>
      </c>
      <c r="M59">
        <v>4</v>
      </c>
    </row>
    <row r="60" spans="1:13" x14ac:dyDescent="0.3">
      <c r="A60">
        <v>59</v>
      </c>
      <c r="B60">
        <v>19</v>
      </c>
      <c r="C60" t="s">
        <v>21</v>
      </c>
      <c r="D60" t="s">
        <v>14</v>
      </c>
      <c r="E60" t="s">
        <v>143</v>
      </c>
      <c r="F60" t="s">
        <v>123</v>
      </c>
      <c r="G60" t="s">
        <v>17</v>
      </c>
      <c r="H60" t="s">
        <v>18</v>
      </c>
      <c r="I60" t="s">
        <v>78</v>
      </c>
      <c r="J60">
        <v>6</v>
      </c>
      <c r="K60" t="s">
        <v>33</v>
      </c>
      <c r="L60">
        <v>3</v>
      </c>
      <c r="M60">
        <v>7</v>
      </c>
    </row>
    <row r="61" spans="1:13" x14ac:dyDescent="0.3">
      <c r="A61">
        <v>60</v>
      </c>
      <c r="B61">
        <v>20</v>
      </c>
      <c r="C61" t="s">
        <v>13</v>
      </c>
      <c r="D61" t="s">
        <v>14</v>
      </c>
      <c r="E61" t="s">
        <v>144</v>
      </c>
      <c r="F61" t="s">
        <v>87</v>
      </c>
      <c r="G61" t="s">
        <v>31</v>
      </c>
      <c r="H61" t="s">
        <v>18</v>
      </c>
      <c r="I61" t="s">
        <v>72</v>
      </c>
      <c r="J61">
        <v>5</v>
      </c>
      <c r="K61" t="s">
        <v>28</v>
      </c>
      <c r="L61">
        <v>4</v>
      </c>
      <c r="M61">
        <v>8</v>
      </c>
    </row>
    <row r="62" spans="1:13" x14ac:dyDescent="0.3">
      <c r="A62">
        <v>61</v>
      </c>
      <c r="B62">
        <v>22</v>
      </c>
      <c r="C62" t="s">
        <v>21</v>
      </c>
      <c r="D62" t="s">
        <v>22</v>
      </c>
      <c r="E62" t="s">
        <v>145</v>
      </c>
      <c r="F62" t="s">
        <v>112</v>
      </c>
      <c r="G62" t="s">
        <v>41</v>
      </c>
      <c r="H62" t="s">
        <v>26</v>
      </c>
      <c r="I62" t="s">
        <v>127</v>
      </c>
      <c r="J62">
        <v>7</v>
      </c>
      <c r="K62" t="s">
        <v>28</v>
      </c>
      <c r="L62">
        <v>1</v>
      </c>
      <c r="M62">
        <v>5</v>
      </c>
    </row>
    <row r="63" spans="1:13" x14ac:dyDescent="0.3">
      <c r="A63">
        <v>62</v>
      </c>
      <c r="B63">
        <v>19</v>
      </c>
      <c r="C63" t="s">
        <v>13</v>
      </c>
      <c r="D63" t="s">
        <v>14</v>
      </c>
      <c r="E63" t="s">
        <v>146</v>
      </c>
      <c r="F63" t="s">
        <v>110</v>
      </c>
      <c r="G63" t="s">
        <v>17</v>
      </c>
      <c r="H63" t="s">
        <v>18</v>
      </c>
      <c r="I63" t="s">
        <v>110</v>
      </c>
      <c r="J63">
        <v>5</v>
      </c>
      <c r="K63" t="s">
        <v>20</v>
      </c>
      <c r="L63">
        <v>3</v>
      </c>
      <c r="M63">
        <v>8</v>
      </c>
    </row>
    <row r="64" spans="1:13" x14ac:dyDescent="0.3">
      <c r="A64">
        <v>63</v>
      </c>
      <c r="B64">
        <v>20</v>
      </c>
      <c r="C64" t="s">
        <v>21</v>
      </c>
      <c r="D64" t="s">
        <v>14</v>
      </c>
      <c r="E64" t="s">
        <v>147</v>
      </c>
      <c r="F64" t="s">
        <v>67</v>
      </c>
      <c r="G64" t="s">
        <v>31</v>
      </c>
      <c r="H64" t="s">
        <v>18</v>
      </c>
      <c r="I64" t="s">
        <v>30</v>
      </c>
      <c r="J64">
        <v>6</v>
      </c>
      <c r="K64" t="s">
        <v>33</v>
      </c>
      <c r="L64">
        <v>3</v>
      </c>
      <c r="M64">
        <v>7</v>
      </c>
    </row>
    <row r="65" spans="1:13" x14ac:dyDescent="0.3">
      <c r="A65">
        <v>64</v>
      </c>
      <c r="B65">
        <v>18</v>
      </c>
      <c r="C65" t="s">
        <v>13</v>
      </c>
      <c r="D65" t="s">
        <v>34</v>
      </c>
      <c r="E65" t="s">
        <v>148</v>
      </c>
      <c r="F65" t="s">
        <v>92</v>
      </c>
      <c r="G65" t="s">
        <v>50</v>
      </c>
      <c r="H65" t="s">
        <v>18</v>
      </c>
      <c r="I65" t="s">
        <v>16</v>
      </c>
      <c r="J65">
        <v>4</v>
      </c>
      <c r="K65" t="s">
        <v>28</v>
      </c>
      <c r="L65">
        <v>4</v>
      </c>
      <c r="M65">
        <v>9</v>
      </c>
    </row>
    <row r="66" spans="1:13" x14ac:dyDescent="0.3">
      <c r="A66">
        <v>65</v>
      </c>
      <c r="B66">
        <v>23</v>
      </c>
      <c r="C66" t="s">
        <v>21</v>
      </c>
      <c r="D66" t="s">
        <v>22</v>
      </c>
      <c r="E66" t="s">
        <v>149</v>
      </c>
      <c r="F66" t="s">
        <v>119</v>
      </c>
      <c r="G66" t="s">
        <v>46</v>
      </c>
      <c r="H66" t="s">
        <v>26</v>
      </c>
      <c r="I66" t="s">
        <v>100</v>
      </c>
      <c r="J66">
        <v>8</v>
      </c>
      <c r="K66" t="s">
        <v>20</v>
      </c>
      <c r="L66">
        <v>1</v>
      </c>
      <c r="M66">
        <v>3</v>
      </c>
    </row>
    <row r="67" spans="1:13" x14ac:dyDescent="0.3">
      <c r="A67">
        <v>66</v>
      </c>
      <c r="B67">
        <v>21</v>
      </c>
      <c r="C67" t="s">
        <v>13</v>
      </c>
      <c r="D67" t="s">
        <v>14</v>
      </c>
      <c r="E67" t="s">
        <v>150</v>
      </c>
      <c r="F67" t="s">
        <v>56</v>
      </c>
      <c r="G67" t="s">
        <v>17</v>
      </c>
      <c r="H67" t="s">
        <v>18</v>
      </c>
      <c r="I67" t="s">
        <v>49</v>
      </c>
      <c r="J67">
        <v>6</v>
      </c>
      <c r="K67" t="s">
        <v>28</v>
      </c>
      <c r="L67">
        <v>3</v>
      </c>
      <c r="M67">
        <v>7</v>
      </c>
    </row>
    <row r="68" spans="1:13" x14ac:dyDescent="0.3">
      <c r="A68">
        <v>67</v>
      </c>
      <c r="B68">
        <v>20</v>
      </c>
      <c r="C68" t="s">
        <v>21</v>
      </c>
      <c r="D68" t="s">
        <v>14</v>
      </c>
      <c r="E68" t="s">
        <v>151</v>
      </c>
      <c r="F68" t="s">
        <v>116</v>
      </c>
      <c r="G68" t="s">
        <v>37</v>
      </c>
      <c r="H68" t="s">
        <v>26</v>
      </c>
      <c r="I68" t="s">
        <v>19</v>
      </c>
      <c r="J68">
        <v>7</v>
      </c>
      <c r="K68" t="s">
        <v>33</v>
      </c>
      <c r="L68">
        <v>2</v>
      </c>
      <c r="M68">
        <v>6</v>
      </c>
    </row>
    <row r="69" spans="1:13" x14ac:dyDescent="0.3">
      <c r="A69">
        <v>68</v>
      </c>
      <c r="B69">
        <v>19</v>
      </c>
      <c r="C69" t="s">
        <v>13</v>
      </c>
      <c r="D69" t="s">
        <v>34</v>
      </c>
      <c r="E69" t="s">
        <v>152</v>
      </c>
      <c r="F69" t="s">
        <v>72</v>
      </c>
      <c r="G69" t="s">
        <v>31</v>
      </c>
      <c r="H69" t="s">
        <v>18</v>
      </c>
      <c r="I69" t="s">
        <v>87</v>
      </c>
      <c r="J69">
        <v>5</v>
      </c>
      <c r="K69" t="s">
        <v>20</v>
      </c>
      <c r="L69">
        <v>4</v>
      </c>
      <c r="M69">
        <v>8</v>
      </c>
    </row>
    <row r="70" spans="1:13" x14ac:dyDescent="0.3">
      <c r="A70">
        <v>69</v>
      </c>
      <c r="B70">
        <v>22</v>
      </c>
      <c r="C70" t="s">
        <v>21</v>
      </c>
      <c r="D70" t="s">
        <v>22</v>
      </c>
      <c r="E70" t="s">
        <v>153</v>
      </c>
      <c r="F70" t="s">
        <v>61</v>
      </c>
      <c r="G70" t="s">
        <v>46</v>
      </c>
      <c r="H70" t="s">
        <v>26</v>
      </c>
      <c r="I70" t="s">
        <v>43</v>
      </c>
      <c r="J70">
        <v>8</v>
      </c>
      <c r="K70" t="s">
        <v>28</v>
      </c>
      <c r="L70">
        <v>1</v>
      </c>
      <c r="M70">
        <v>4</v>
      </c>
    </row>
    <row r="71" spans="1:13" x14ac:dyDescent="0.3">
      <c r="A71">
        <v>70</v>
      </c>
      <c r="B71">
        <v>20</v>
      </c>
      <c r="C71" t="s">
        <v>13</v>
      </c>
      <c r="D71" t="s">
        <v>14</v>
      </c>
      <c r="E71" t="s">
        <v>154</v>
      </c>
      <c r="F71" t="s">
        <v>40</v>
      </c>
      <c r="G71" t="s">
        <v>17</v>
      </c>
      <c r="H71" t="s">
        <v>18</v>
      </c>
      <c r="I71" t="s">
        <v>78</v>
      </c>
      <c r="J71">
        <v>6</v>
      </c>
      <c r="K71" t="s">
        <v>33</v>
      </c>
      <c r="L71">
        <v>3</v>
      </c>
      <c r="M71">
        <v>7</v>
      </c>
    </row>
    <row r="72" spans="1:13" x14ac:dyDescent="0.3">
      <c r="A72">
        <v>71</v>
      </c>
      <c r="B72">
        <v>18</v>
      </c>
      <c r="C72" t="s">
        <v>21</v>
      </c>
      <c r="D72" t="s">
        <v>34</v>
      </c>
      <c r="E72" t="s">
        <v>155</v>
      </c>
      <c r="F72" t="s">
        <v>87</v>
      </c>
      <c r="G72" t="s">
        <v>50</v>
      </c>
      <c r="H72" t="s">
        <v>18</v>
      </c>
      <c r="I72" t="s">
        <v>59</v>
      </c>
      <c r="J72">
        <v>5</v>
      </c>
      <c r="K72" t="s">
        <v>28</v>
      </c>
      <c r="L72">
        <v>4</v>
      </c>
      <c r="M72">
        <v>8</v>
      </c>
    </row>
    <row r="73" spans="1:13" x14ac:dyDescent="0.3">
      <c r="A73">
        <v>72</v>
      </c>
      <c r="B73">
        <v>21</v>
      </c>
      <c r="C73" t="s">
        <v>13</v>
      </c>
      <c r="D73" t="s">
        <v>22</v>
      </c>
      <c r="E73" t="s">
        <v>156</v>
      </c>
      <c r="F73" t="s">
        <v>89</v>
      </c>
      <c r="G73" t="s">
        <v>41</v>
      </c>
      <c r="H73" t="s">
        <v>26</v>
      </c>
      <c r="I73" t="s">
        <v>65</v>
      </c>
      <c r="J73">
        <v>7</v>
      </c>
      <c r="K73" t="s">
        <v>20</v>
      </c>
      <c r="L73">
        <v>2</v>
      </c>
      <c r="M73">
        <v>5</v>
      </c>
    </row>
    <row r="74" spans="1:13" x14ac:dyDescent="0.3">
      <c r="A74">
        <v>73</v>
      </c>
      <c r="B74">
        <v>19</v>
      </c>
      <c r="C74" t="s">
        <v>21</v>
      </c>
      <c r="D74" t="s">
        <v>14</v>
      </c>
      <c r="E74" t="s">
        <v>157</v>
      </c>
      <c r="F74" t="s">
        <v>85</v>
      </c>
      <c r="G74" t="s">
        <v>31</v>
      </c>
      <c r="H74" t="s">
        <v>18</v>
      </c>
      <c r="I74" t="s">
        <v>72</v>
      </c>
      <c r="J74">
        <v>6</v>
      </c>
      <c r="K74" t="s">
        <v>33</v>
      </c>
      <c r="L74">
        <v>3</v>
      </c>
      <c r="M74">
        <v>7</v>
      </c>
    </row>
    <row r="75" spans="1:13" x14ac:dyDescent="0.3">
      <c r="A75">
        <v>74</v>
      </c>
      <c r="B75">
        <v>20</v>
      </c>
      <c r="C75" t="s">
        <v>13</v>
      </c>
      <c r="D75" t="s">
        <v>14</v>
      </c>
      <c r="E75" t="s">
        <v>158</v>
      </c>
      <c r="F75" t="s">
        <v>49</v>
      </c>
      <c r="G75" t="s">
        <v>17</v>
      </c>
      <c r="H75" t="s">
        <v>18</v>
      </c>
      <c r="I75" t="s">
        <v>80</v>
      </c>
      <c r="J75">
        <v>5</v>
      </c>
      <c r="K75" t="s">
        <v>28</v>
      </c>
      <c r="L75">
        <v>4</v>
      </c>
      <c r="M75">
        <v>8</v>
      </c>
    </row>
    <row r="76" spans="1:13" x14ac:dyDescent="0.3">
      <c r="A76">
        <v>75</v>
      </c>
      <c r="B76">
        <v>23</v>
      </c>
      <c r="C76" t="s">
        <v>21</v>
      </c>
      <c r="D76" t="s">
        <v>22</v>
      </c>
      <c r="E76" t="s">
        <v>159</v>
      </c>
      <c r="F76" t="s">
        <v>82</v>
      </c>
      <c r="G76" t="s">
        <v>46</v>
      </c>
      <c r="H76" t="s">
        <v>26</v>
      </c>
      <c r="I76" t="s">
        <v>83</v>
      </c>
      <c r="J76">
        <v>8</v>
      </c>
      <c r="K76" t="s">
        <v>20</v>
      </c>
      <c r="L76">
        <v>1</v>
      </c>
      <c r="M76">
        <v>4</v>
      </c>
    </row>
    <row r="77" spans="1:13" x14ac:dyDescent="0.3">
      <c r="A77">
        <v>76</v>
      </c>
      <c r="B77">
        <v>21</v>
      </c>
      <c r="C77" t="s">
        <v>13</v>
      </c>
      <c r="D77" t="s">
        <v>14</v>
      </c>
      <c r="E77" t="s">
        <v>160</v>
      </c>
      <c r="F77" t="s">
        <v>123</v>
      </c>
      <c r="G77" t="s">
        <v>50</v>
      </c>
      <c r="H77" t="s">
        <v>18</v>
      </c>
      <c r="I77" t="s">
        <v>49</v>
      </c>
      <c r="J77">
        <v>6</v>
      </c>
      <c r="K77" t="s">
        <v>28</v>
      </c>
      <c r="L77">
        <v>3</v>
      </c>
      <c r="M77">
        <v>7</v>
      </c>
    </row>
    <row r="78" spans="1:13" x14ac:dyDescent="0.3">
      <c r="A78">
        <v>77</v>
      </c>
      <c r="B78">
        <v>19</v>
      </c>
      <c r="C78" t="s">
        <v>21</v>
      </c>
      <c r="D78" t="s">
        <v>34</v>
      </c>
      <c r="E78" t="s">
        <v>161</v>
      </c>
      <c r="F78" t="s">
        <v>59</v>
      </c>
      <c r="G78" t="s">
        <v>31</v>
      </c>
      <c r="H78" t="s">
        <v>18</v>
      </c>
      <c r="I78" t="s">
        <v>87</v>
      </c>
      <c r="J78">
        <v>5</v>
      </c>
      <c r="K78" t="s">
        <v>33</v>
      </c>
      <c r="L78">
        <v>4</v>
      </c>
      <c r="M78">
        <v>8</v>
      </c>
    </row>
    <row r="79" spans="1:13" x14ac:dyDescent="0.3">
      <c r="A79">
        <v>78</v>
      </c>
      <c r="B79">
        <v>22</v>
      </c>
      <c r="C79" t="s">
        <v>13</v>
      </c>
      <c r="D79" t="s">
        <v>22</v>
      </c>
      <c r="E79" t="s">
        <v>162</v>
      </c>
      <c r="F79" t="s">
        <v>163</v>
      </c>
      <c r="G79" t="s">
        <v>41</v>
      </c>
      <c r="H79" t="s">
        <v>26</v>
      </c>
      <c r="I79" t="s">
        <v>38</v>
      </c>
      <c r="J79">
        <v>7</v>
      </c>
      <c r="K79" t="s">
        <v>20</v>
      </c>
      <c r="L79">
        <v>2</v>
      </c>
      <c r="M79">
        <v>5</v>
      </c>
    </row>
    <row r="80" spans="1:13" x14ac:dyDescent="0.3">
      <c r="A80">
        <v>79</v>
      </c>
      <c r="B80">
        <v>20</v>
      </c>
      <c r="C80" t="s">
        <v>21</v>
      </c>
      <c r="D80" t="s">
        <v>14</v>
      </c>
      <c r="E80" t="s">
        <v>164</v>
      </c>
      <c r="F80" t="s">
        <v>77</v>
      </c>
      <c r="G80" t="s">
        <v>37</v>
      </c>
      <c r="H80" t="s">
        <v>18</v>
      </c>
      <c r="I80" t="s">
        <v>78</v>
      </c>
      <c r="J80">
        <v>6</v>
      </c>
      <c r="K80" t="s">
        <v>28</v>
      </c>
      <c r="L80">
        <v>3</v>
      </c>
      <c r="M80">
        <v>7</v>
      </c>
    </row>
    <row r="81" spans="1:13" x14ac:dyDescent="0.3">
      <c r="A81">
        <v>80</v>
      </c>
      <c r="B81">
        <v>18</v>
      </c>
      <c r="C81" t="s">
        <v>13</v>
      </c>
      <c r="D81" t="s">
        <v>34</v>
      </c>
      <c r="E81" t="s">
        <v>165</v>
      </c>
      <c r="F81" t="s">
        <v>78</v>
      </c>
      <c r="G81" t="s">
        <v>17</v>
      </c>
      <c r="H81" t="s">
        <v>18</v>
      </c>
      <c r="I81" t="s">
        <v>16</v>
      </c>
      <c r="J81">
        <v>5</v>
      </c>
      <c r="K81" t="s">
        <v>33</v>
      </c>
      <c r="L81">
        <v>4</v>
      </c>
      <c r="M81">
        <v>9</v>
      </c>
    </row>
    <row r="82" spans="1:13" x14ac:dyDescent="0.3">
      <c r="A82">
        <v>81</v>
      </c>
      <c r="B82">
        <v>21</v>
      </c>
      <c r="C82" t="s">
        <v>21</v>
      </c>
      <c r="D82" t="s">
        <v>22</v>
      </c>
      <c r="E82" t="s">
        <v>166</v>
      </c>
      <c r="F82" t="s">
        <v>36</v>
      </c>
      <c r="G82" t="s">
        <v>46</v>
      </c>
      <c r="H82" t="s">
        <v>26</v>
      </c>
      <c r="I82" t="s">
        <v>127</v>
      </c>
      <c r="J82">
        <v>8</v>
      </c>
      <c r="K82" t="s">
        <v>20</v>
      </c>
      <c r="L82">
        <v>1</v>
      </c>
      <c r="M82">
        <v>4</v>
      </c>
    </row>
    <row r="83" spans="1:13" x14ac:dyDescent="0.3">
      <c r="A83">
        <v>82</v>
      </c>
      <c r="B83">
        <v>19</v>
      </c>
      <c r="C83" t="s">
        <v>13</v>
      </c>
      <c r="D83" t="s">
        <v>14</v>
      </c>
      <c r="E83" t="s">
        <v>167</v>
      </c>
      <c r="F83" t="s">
        <v>56</v>
      </c>
      <c r="G83" t="s">
        <v>31</v>
      </c>
      <c r="H83" t="s">
        <v>18</v>
      </c>
      <c r="I83" t="s">
        <v>72</v>
      </c>
      <c r="J83">
        <v>6</v>
      </c>
      <c r="K83" t="s">
        <v>28</v>
      </c>
      <c r="L83">
        <v>3</v>
      </c>
      <c r="M83">
        <v>7</v>
      </c>
    </row>
    <row r="84" spans="1:13" x14ac:dyDescent="0.3">
      <c r="A84">
        <v>83</v>
      </c>
      <c r="B84">
        <v>20</v>
      </c>
      <c r="C84" t="s">
        <v>21</v>
      </c>
      <c r="D84" t="s">
        <v>14</v>
      </c>
      <c r="E84" t="s">
        <v>168</v>
      </c>
      <c r="F84" t="s">
        <v>94</v>
      </c>
      <c r="G84" t="s">
        <v>41</v>
      </c>
      <c r="H84" t="s">
        <v>26</v>
      </c>
      <c r="I84" t="s">
        <v>95</v>
      </c>
      <c r="J84">
        <v>7</v>
      </c>
      <c r="K84" t="s">
        <v>33</v>
      </c>
      <c r="L84">
        <v>2</v>
      </c>
      <c r="M84">
        <v>6</v>
      </c>
    </row>
    <row r="85" spans="1:13" x14ac:dyDescent="0.3">
      <c r="A85">
        <v>84</v>
      </c>
      <c r="B85">
        <v>22</v>
      </c>
      <c r="C85" t="s">
        <v>13</v>
      </c>
      <c r="D85" t="s">
        <v>22</v>
      </c>
      <c r="E85" t="s">
        <v>169</v>
      </c>
      <c r="F85" t="s">
        <v>126</v>
      </c>
      <c r="G85" t="s">
        <v>46</v>
      </c>
      <c r="H85" t="s">
        <v>26</v>
      </c>
      <c r="I85" t="s">
        <v>43</v>
      </c>
      <c r="J85">
        <v>8</v>
      </c>
      <c r="K85" t="s">
        <v>20</v>
      </c>
      <c r="L85">
        <v>1</v>
      </c>
      <c r="M85">
        <v>4</v>
      </c>
    </row>
    <row r="86" spans="1:13" x14ac:dyDescent="0.3">
      <c r="A86">
        <v>85</v>
      </c>
      <c r="B86">
        <v>18</v>
      </c>
      <c r="C86" t="s">
        <v>21</v>
      </c>
      <c r="D86" t="s">
        <v>34</v>
      </c>
      <c r="E86" t="s">
        <v>170</v>
      </c>
      <c r="F86" t="s">
        <v>110</v>
      </c>
      <c r="G86" t="s">
        <v>50</v>
      </c>
      <c r="H86" t="s">
        <v>18</v>
      </c>
      <c r="I86" t="s">
        <v>80</v>
      </c>
      <c r="J86">
        <v>5</v>
      </c>
      <c r="K86" t="s">
        <v>28</v>
      </c>
      <c r="L86">
        <v>4</v>
      </c>
      <c r="M86">
        <v>8</v>
      </c>
    </row>
    <row r="87" spans="1:13" x14ac:dyDescent="0.3">
      <c r="A87">
        <v>86</v>
      </c>
      <c r="B87">
        <v>21</v>
      </c>
      <c r="C87" t="s">
        <v>13</v>
      </c>
      <c r="D87" t="s">
        <v>14</v>
      </c>
      <c r="E87" t="s">
        <v>171</v>
      </c>
      <c r="F87" t="s">
        <v>40</v>
      </c>
      <c r="G87" t="s">
        <v>17</v>
      </c>
      <c r="H87" t="s">
        <v>18</v>
      </c>
      <c r="I87" t="s">
        <v>49</v>
      </c>
      <c r="J87">
        <v>6</v>
      </c>
      <c r="K87" t="s">
        <v>33</v>
      </c>
      <c r="L87">
        <v>3</v>
      </c>
      <c r="M87">
        <v>7</v>
      </c>
    </row>
    <row r="88" spans="1:13" x14ac:dyDescent="0.3">
      <c r="A88">
        <v>87</v>
      </c>
      <c r="B88">
        <v>19</v>
      </c>
      <c r="C88" t="s">
        <v>21</v>
      </c>
      <c r="D88" t="s">
        <v>34</v>
      </c>
      <c r="E88" t="s">
        <v>172</v>
      </c>
      <c r="F88" t="s">
        <v>80</v>
      </c>
      <c r="G88" t="s">
        <v>31</v>
      </c>
      <c r="H88" t="s">
        <v>18</v>
      </c>
      <c r="I88" t="s">
        <v>59</v>
      </c>
      <c r="J88">
        <v>5</v>
      </c>
      <c r="K88" t="s">
        <v>20</v>
      </c>
      <c r="L88">
        <v>4</v>
      </c>
      <c r="M88">
        <v>8</v>
      </c>
    </row>
    <row r="89" spans="1:13" x14ac:dyDescent="0.3">
      <c r="A89">
        <v>88</v>
      </c>
      <c r="B89">
        <v>23</v>
      </c>
      <c r="C89" t="s">
        <v>13</v>
      </c>
      <c r="D89" t="s">
        <v>22</v>
      </c>
      <c r="E89" t="s">
        <v>173</v>
      </c>
      <c r="F89" t="s">
        <v>107</v>
      </c>
      <c r="G89" t="s">
        <v>46</v>
      </c>
      <c r="H89" t="s">
        <v>26</v>
      </c>
      <c r="I89" t="s">
        <v>83</v>
      </c>
      <c r="J89">
        <v>8</v>
      </c>
      <c r="K89" t="s">
        <v>28</v>
      </c>
      <c r="L89">
        <v>1</v>
      </c>
      <c r="M89">
        <v>4</v>
      </c>
    </row>
    <row r="90" spans="1:13" x14ac:dyDescent="0.3">
      <c r="A90">
        <v>89</v>
      </c>
      <c r="B90">
        <v>20</v>
      </c>
      <c r="C90" t="s">
        <v>21</v>
      </c>
      <c r="D90" t="s">
        <v>14</v>
      </c>
      <c r="E90" t="s">
        <v>174</v>
      </c>
      <c r="F90" t="s">
        <v>97</v>
      </c>
      <c r="G90" t="s">
        <v>37</v>
      </c>
      <c r="H90" t="s">
        <v>18</v>
      </c>
      <c r="I90" t="s">
        <v>30</v>
      </c>
      <c r="J90">
        <v>6</v>
      </c>
      <c r="K90" t="s">
        <v>33</v>
      </c>
      <c r="L90">
        <v>3</v>
      </c>
      <c r="M90">
        <v>7</v>
      </c>
    </row>
    <row r="91" spans="1:13" x14ac:dyDescent="0.3">
      <c r="A91">
        <v>90</v>
      </c>
      <c r="B91">
        <v>18</v>
      </c>
      <c r="C91" t="s">
        <v>13</v>
      </c>
      <c r="D91" t="s">
        <v>34</v>
      </c>
      <c r="E91" t="s">
        <v>175</v>
      </c>
      <c r="F91" t="s">
        <v>49</v>
      </c>
      <c r="G91" t="s">
        <v>17</v>
      </c>
      <c r="H91" t="s">
        <v>18</v>
      </c>
      <c r="I91" t="s">
        <v>16</v>
      </c>
      <c r="J91">
        <v>5</v>
      </c>
      <c r="K91" t="s">
        <v>28</v>
      </c>
      <c r="L91">
        <v>4</v>
      </c>
      <c r="M91">
        <v>9</v>
      </c>
    </row>
    <row r="92" spans="1:13" x14ac:dyDescent="0.3">
      <c r="A92">
        <v>91</v>
      </c>
      <c r="B92">
        <v>22</v>
      </c>
      <c r="C92" t="s">
        <v>21</v>
      </c>
      <c r="D92" t="s">
        <v>22</v>
      </c>
      <c r="E92" t="s">
        <v>176</v>
      </c>
      <c r="F92" t="s">
        <v>163</v>
      </c>
      <c r="G92" t="s">
        <v>41</v>
      </c>
      <c r="H92" t="s">
        <v>26</v>
      </c>
      <c r="I92" t="s">
        <v>38</v>
      </c>
      <c r="J92">
        <v>7</v>
      </c>
      <c r="K92" t="s">
        <v>20</v>
      </c>
      <c r="L92">
        <v>2</v>
      </c>
      <c r="M92">
        <v>5</v>
      </c>
    </row>
    <row r="93" spans="1:13" x14ac:dyDescent="0.3">
      <c r="A93">
        <v>92</v>
      </c>
      <c r="B93">
        <v>19</v>
      </c>
      <c r="C93" t="s">
        <v>13</v>
      </c>
      <c r="D93" t="s">
        <v>14</v>
      </c>
      <c r="E93" t="s">
        <v>177</v>
      </c>
      <c r="F93" t="s">
        <v>77</v>
      </c>
      <c r="G93" t="s">
        <v>31</v>
      </c>
      <c r="H93" t="s">
        <v>18</v>
      </c>
      <c r="I93" t="s">
        <v>49</v>
      </c>
      <c r="J93">
        <v>6</v>
      </c>
      <c r="K93" t="s">
        <v>33</v>
      </c>
      <c r="L93">
        <v>3</v>
      </c>
      <c r="M93">
        <v>7</v>
      </c>
    </row>
    <row r="94" spans="1:13" x14ac:dyDescent="0.3">
      <c r="A94">
        <v>93</v>
      </c>
      <c r="B94">
        <v>21</v>
      </c>
      <c r="C94" t="s">
        <v>21</v>
      </c>
      <c r="D94" t="s">
        <v>14</v>
      </c>
      <c r="E94" t="s">
        <v>178</v>
      </c>
      <c r="F94" t="s">
        <v>64</v>
      </c>
      <c r="G94" t="s">
        <v>50</v>
      </c>
      <c r="H94" t="s">
        <v>26</v>
      </c>
      <c r="I94" t="s">
        <v>19</v>
      </c>
      <c r="J94">
        <v>7</v>
      </c>
      <c r="K94" t="s">
        <v>28</v>
      </c>
      <c r="L94">
        <v>2</v>
      </c>
      <c r="M94">
        <v>6</v>
      </c>
    </row>
    <row r="95" spans="1:13" x14ac:dyDescent="0.3">
      <c r="A95">
        <v>94</v>
      </c>
      <c r="B95">
        <v>20</v>
      </c>
      <c r="C95" t="s">
        <v>13</v>
      </c>
      <c r="D95" t="s">
        <v>34</v>
      </c>
      <c r="E95" t="s">
        <v>179</v>
      </c>
      <c r="F95" t="s">
        <v>59</v>
      </c>
      <c r="G95" t="s">
        <v>17</v>
      </c>
      <c r="H95" t="s">
        <v>18</v>
      </c>
      <c r="I95" t="s">
        <v>87</v>
      </c>
      <c r="J95">
        <v>5</v>
      </c>
      <c r="K95" t="s">
        <v>20</v>
      </c>
      <c r="L95">
        <v>4</v>
      </c>
      <c r="M95">
        <v>8</v>
      </c>
    </row>
    <row r="96" spans="1:13" x14ac:dyDescent="0.3">
      <c r="A96">
        <v>95</v>
      </c>
      <c r="B96">
        <v>23</v>
      </c>
      <c r="C96" t="s">
        <v>21</v>
      </c>
      <c r="D96" t="s">
        <v>22</v>
      </c>
      <c r="E96" t="s">
        <v>180</v>
      </c>
      <c r="F96" t="s">
        <v>137</v>
      </c>
      <c r="G96" t="s">
        <v>46</v>
      </c>
      <c r="H96" t="s">
        <v>26</v>
      </c>
      <c r="I96" t="s">
        <v>100</v>
      </c>
      <c r="J96">
        <v>8</v>
      </c>
      <c r="K96" t="s">
        <v>33</v>
      </c>
      <c r="L96">
        <v>1</v>
      </c>
      <c r="M96">
        <v>4</v>
      </c>
    </row>
    <row r="97" spans="1:13" x14ac:dyDescent="0.3">
      <c r="A97">
        <v>96</v>
      </c>
      <c r="B97">
        <v>19</v>
      </c>
      <c r="C97" t="s">
        <v>13</v>
      </c>
      <c r="D97" t="s">
        <v>14</v>
      </c>
      <c r="E97" t="s">
        <v>181</v>
      </c>
      <c r="F97" t="s">
        <v>85</v>
      </c>
      <c r="G97" t="s">
        <v>31</v>
      </c>
      <c r="H97" t="s">
        <v>18</v>
      </c>
      <c r="I97" t="s">
        <v>72</v>
      </c>
      <c r="J97">
        <v>6</v>
      </c>
      <c r="K97" t="s">
        <v>28</v>
      </c>
      <c r="L97">
        <v>3</v>
      </c>
      <c r="M97">
        <v>7</v>
      </c>
    </row>
    <row r="98" spans="1:13" x14ac:dyDescent="0.3">
      <c r="A98">
        <v>97</v>
      </c>
      <c r="B98">
        <v>18</v>
      </c>
      <c r="C98" t="s">
        <v>21</v>
      </c>
      <c r="D98" t="s">
        <v>34</v>
      </c>
      <c r="E98" t="s">
        <v>182</v>
      </c>
      <c r="F98" t="s">
        <v>72</v>
      </c>
      <c r="G98" t="s">
        <v>50</v>
      </c>
      <c r="H98" t="s">
        <v>18</v>
      </c>
      <c r="I98" t="s">
        <v>80</v>
      </c>
      <c r="J98">
        <v>5</v>
      </c>
      <c r="K98" t="s">
        <v>20</v>
      </c>
      <c r="L98">
        <v>4</v>
      </c>
      <c r="M98">
        <v>8</v>
      </c>
    </row>
    <row r="99" spans="1:13" x14ac:dyDescent="0.3">
      <c r="A99">
        <v>98</v>
      </c>
      <c r="B99">
        <v>22</v>
      </c>
      <c r="C99" t="s">
        <v>13</v>
      </c>
      <c r="D99" t="s">
        <v>22</v>
      </c>
      <c r="E99" t="s">
        <v>183</v>
      </c>
      <c r="F99" t="s">
        <v>61</v>
      </c>
      <c r="G99" t="s">
        <v>46</v>
      </c>
      <c r="H99" t="s">
        <v>26</v>
      </c>
      <c r="I99" t="s">
        <v>127</v>
      </c>
      <c r="J99">
        <v>8</v>
      </c>
      <c r="K99" t="s">
        <v>33</v>
      </c>
      <c r="L99">
        <v>1</v>
      </c>
      <c r="M99">
        <v>4</v>
      </c>
    </row>
    <row r="100" spans="1:13" x14ac:dyDescent="0.3">
      <c r="A100">
        <v>99</v>
      </c>
      <c r="B100">
        <v>20</v>
      </c>
      <c r="C100" t="s">
        <v>21</v>
      </c>
      <c r="D100" t="s">
        <v>14</v>
      </c>
      <c r="E100" t="s">
        <v>184</v>
      </c>
      <c r="F100" t="s">
        <v>123</v>
      </c>
      <c r="G100" t="s">
        <v>17</v>
      </c>
      <c r="H100" t="s">
        <v>18</v>
      </c>
      <c r="I100" t="s">
        <v>78</v>
      </c>
      <c r="J100">
        <v>6</v>
      </c>
      <c r="K100" t="s">
        <v>28</v>
      </c>
      <c r="L100">
        <v>3</v>
      </c>
      <c r="M100">
        <v>7</v>
      </c>
    </row>
    <row r="101" spans="1:13" x14ac:dyDescent="0.3">
      <c r="A101">
        <v>100</v>
      </c>
      <c r="B101">
        <v>21</v>
      </c>
      <c r="C101" t="s">
        <v>13</v>
      </c>
      <c r="D101" t="s">
        <v>14</v>
      </c>
      <c r="E101" t="s">
        <v>185</v>
      </c>
      <c r="F101" t="s">
        <v>87</v>
      </c>
      <c r="G101" t="s">
        <v>31</v>
      </c>
      <c r="H101" t="s">
        <v>18</v>
      </c>
      <c r="I101" t="s">
        <v>59</v>
      </c>
      <c r="J101">
        <v>5</v>
      </c>
      <c r="K101" t="s">
        <v>20</v>
      </c>
      <c r="L101">
        <v>4</v>
      </c>
      <c r="M101">
        <v>8</v>
      </c>
    </row>
    <row r="102" spans="1:13" x14ac:dyDescent="0.3">
      <c r="A102">
        <v>101</v>
      </c>
      <c r="B102">
        <v>19</v>
      </c>
      <c r="C102" t="s">
        <v>21</v>
      </c>
      <c r="D102" t="s">
        <v>34</v>
      </c>
      <c r="E102" t="s">
        <v>186</v>
      </c>
      <c r="F102" t="s">
        <v>49</v>
      </c>
      <c r="G102" t="s">
        <v>37</v>
      </c>
      <c r="H102" t="s">
        <v>18</v>
      </c>
      <c r="I102" t="s">
        <v>16</v>
      </c>
      <c r="J102">
        <v>5</v>
      </c>
      <c r="K102" t="s">
        <v>33</v>
      </c>
      <c r="L102">
        <v>4</v>
      </c>
      <c r="M102">
        <v>9</v>
      </c>
    </row>
    <row r="103" spans="1:13" x14ac:dyDescent="0.3">
      <c r="A103">
        <v>102</v>
      </c>
      <c r="B103">
        <v>23</v>
      </c>
      <c r="C103" t="s">
        <v>13</v>
      </c>
      <c r="D103" t="s">
        <v>22</v>
      </c>
      <c r="E103" t="s">
        <v>187</v>
      </c>
      <c r="F103" t="s">
        <v>82</v>
      </c>
      <c r="G103" t="s">
        <v>46</v>
      </c>
      <c r="H103" t="s">
        <v>26</v>
      </c>
      <c r="I103" t="s">
        <v>83</v>
      </c>
      <c r="J103">
        <v>8</v>
      </c>
      <c r="K103" t="s">
        <v>28</v>
      </c>
      <c r="L103">
        <v>1</v>
      </c>
      <c r="M103">
        <v>4</v>
      </c>
    </row>
    <row r="104" spans="1:13" x14ac:dyDescent="0.3">
      <c r="A104">
        <v>103</v>
      </c>
      <c r="B104">
        <v>20</v>
      </c>
      <c r="C104" t="s">
        <v>21</v>
      </c>
      <c r="D104" t="s">
        <v>14</v>
      </c>
      <c r="E104" t="s">
        <v>188</v>
      </c>
      <c r="F104" t="s">
        <v>77</v>
      </c>
      <c r="G104" t="s">
        <v>41</v>
      </c>
      <c r="H104" t="s">
        <v>18</v>
      </c>
      <c r="I104" t="s">
        <v>49</v>
      </c>
      <c r="J104">
        <v>6</v>
      </c>
      <c r="K104" t="s">
        <v>20</v>
      </c>
      <c r="L104">
        <v>3</v>
      </c>
      <c r="M104">
        <v>7</v>
      </c>
    </row>
    <row r="105" spans="1:13" x14ac:dyDescent="0.3">
      <c r="A105">
        <v>104</v>
      </c>
      <c r="B105">
        <v>18</v>
      </c>
      <c r="C105" t="s">
        <v>13</v>
      </c>
      <c r="D105" t="s">
        <v>34</v>
      </c>
      <c r="E105" t="s">
        <v>189</v>
      </c>
      <c r="F105" t="s">
        <v>110</v>
      </c>
      <c r="G105" t="s">
        <v>17</v>
      </c>
      <c r="H105" t="s">
        <v>18</v>
      </c>
      <c r="I105" t="s">
        <v>87</v>
      </c>
      <c r="J105">
        <v>5</v>
      </c>
      <c r="K105" t="s">
        <v>28</v>
      </c>
      <c r="L105">
        <v>4</v>
      </c>
      <c r="M105">
        <v>8</v>
      </c>
    </row>
    <row r="106" spans="1:13" x14ac:dyDescent="0.3">
      <c r="A106">
        <v>105</v>
      </c>
      <c r="B106">
        <v>22</v>
      </c>
      <c r="C106" t="s">
        <v>21</v>
      </c>
      <c r="D106" t="s">
        <v>22</v>
      </c>
      <c r="E106" t="s">
        <v>190</v>
      </c>
      <c r="F106" t="s">
        <v>163</v>
      </c>
      <c r="G106" t="s">
        <v>46</v>
      </c>
      <c r="H106" t="s">
        <v>26</v>
      </c>
      <c r="I106" t="s">
        <v>38</v>
      </c>
      <c r="J106">
        <v>7</v>
      </c>
      <c r="K106" t="s">
        <v>33</v>
      </c>
      <c r="L106">
        <v>2</v>
      </c>
      <c r="M106">
        <v>5</v>
      </c>
    </row>
    <row r="107" spans="1:13" x14ac:dyDescent="0.3">
      <c r="A107">
        <v>106</v>
      </c>
      <c r="B107">
        <v>19</v>
      </c>
      <c r="C107" t="s">
        <v>13</v>
      </c>
      <c r="D107" t="s">
        <v>14</v>
      </c>
      <c r="E107" t="s">
        <v>191</v>
      </c>
      <c r="F107" t="s">
        <v>56</v>
      </c>
      <c r="G107" t="s">
        <v>31</v>
      </c>
      <c r="H107" t="s">
        <v>18</v>
      </c>
      <c r="I107" t="s">
        <v>72</v>
      </c>
      <c r="J107">
        <v>6</v>
      </c>
      <c r="K107" t="s">
        <v>20</v>
      </c>
      <c r="L107">
        <v>3</v>
      </c>
      <c r="M107">
        <v>7</v>
      </c>
    </row>
    <row r="108" spans="1:13" x14ac:dyDescent="0.3">
      <c r="A108">
        <v>107</v>
      </c>
      <c r="B108">
        <v>21</v>
      </c>
      <c r="C108" t="s">
        <v>21</v>
      </c>
      <c r="D108" t="s">
        <v>14</v>
      </c>
      <c r="E108" t="s">
        <v>192</v>
      </c>
      <c r="F108" t="s">
        <v>94</v>
      </c>
      <c r="G108" t="s">
        <v>37</v>
      </c>
      <c r="H108" t="s">
        <v>26</v>
      </c>
      <c r="I108" t="s">
        <v>95</v>
      </c>
      <c r="J108">
        <v>7</v>
      </c>
      <c r="K108" t="s">
        <v>28</v>
      </c>
      <c r="L108">
        <v>2</v>
      </c>
      <c r="M108">
        <v>6</v>
      </c>
    </row>
    <row r="109" spans="1:13" x14ac:dyDescent="0.3">
      <c r="A109">
        <v>108</v>
      </c>
      <c r="B109">
        <v>20</v>
      </c>
      <c r="C109" t="s">
        <v>13</v>
      </c>
      <c r="D109" t="s">
        <v>34</v>
      </c>
      <c r="E109" t="s">
        <v>193</v>
      </c>
      <c r="F109" t="s">
        <v>59</v>
      </c>
      <c r="G109" t="s">
        <v>50</v>
      </c>
      <c r="H109" t="s">
        <v>18</v>
      </c>
      <c r="I109" t="s">
        <v>59</v>
      </c>
      <c r="J109">
        <v>5</v>
      </c>
      <c r="K109" t="s">
        <v>33</v>
      </c>
      <c r="L109">
        <v>4</v>
      </c>
      <c r="M109">
        <v>8</v>
      </c>
    </row>
    <row r="110" spans="1:13" x14ac:dyDescent="0.3">
      <c r="A110">
        <v>109</v>
      </c>
      <c r="B110">
        <v>23</v>
      </c>
      <c r="C110" t="s">
        <v>21</v>
      </c>
      <c r="D110" t="s">
        <v>22</v>
      </c>
      <c r="E110" t="s">
        <v>194</v>
      </c>
      <c r="F110" t="s">
        <v>107</v>
      </c>
      <c r="G110" t="s">
        <v>46</v>
      </c>
      <c r="H110" t="s">
        <v>26</v>
      </c>
      <c r="I110" t="s">
        <v>43</v>
      </c>
      <c r="J110">
        <v>8</v>
      </c>
      <c r="K110" t="s">
        <v>20</v>
      </c>
      <c r="L110">
        <v>1</v>
      </c>
      <c r="M110">
        <v>4</v>
      </c>
    </row>
    <row r="111" spans="1:13" x14ac:dyDescent="0.3">
      <c r="A111">
        <v>110</v>
      </c>
      <c r="B111">
        <v>19</v>
      </c>
      <c r="C111" t="s">
        <v>13</v>
      </c>
      <c r="D111" t="s">
        <v>14</v>
      </c>
      <c r="E111" t="s">
        <v>195</v>
      </c>
      <c r="F111" t="s">
        <v>85</v>
      </c>
      <c r="G111" t="s">
        <v>17</v>
      </c>
      <c r="H111" t="s">
        <v>18</v>
      </c>
      <c r="I111" t="s">
        <v>49</v>
      </c>
      <c r="J111">
        <v>6</v>
      </c>
      <c r="K111" t="s">
        <v>28</v>
      </c>
      <c r="L111">
        <v>3</v>
      </c>
      <c r="M111">
        <v>7</v>
      </c>
    </row>
    <row r="112" spans="1:13" x14ac:dyDescent="0.3">
      <c r="A112">
        <v>111</v>
      </c>
      <c r="B112">
        <v>20</v>
      </c>
      <c r="C112" t="s">
        <v>21</v>
      </c>
      <c r="D112" t="s">
        <v>14</v>
      </c>
      <c r="E112" t="s">
        <v>15</v>
      </c>
      <c r="F112" t="s">
        <v>92</v>
      </c>
      <c r="G112" t="s">
        <v>17</v>
      </c>
      <c r="H112" t="s">
        <v>18</v>
      </c>
      <c r="I112" t="s">
        <v>57</v>
      </c>
      <c r="J112">
        <v>5</v>
      </c>
      <c r="K112" t="s">
        <v>28</v>
      </c>
      <c r="L112">
        <v>4</v>
      </c>
      <c r="M112">
        <v>8</v>
      </c>
    </row>
    <row r="113" spans="1:13" x14ac:dyDescent="0.3">
      <c r="A113">
        <v>112</v>
      </c>
      <c r="B113">
        <v>21</v>
      </c>
      <c r="C113" t="s">
        <v>13</v>
      </c>
      <c r="D113" t="s">
        <v>14</v>
      </c>
      <c r="E113" t="s">
        <v>23</v>
      </c>
      <c r="F113" t="s">
        <v>49</v>
      </c>
      <c r="G113" t="s">
        <v>31</v>
      </c>
      <c r="H113" t="s">
        <v>18</v>
      </c>
      <c r="I113" t="s">
        <v>78</v>
      </c>
      <c r="J113">
        <v>6</v>
      </c>
      <c r="K113" t="s">
        <v>20</v>
      </c>
      <c r="L113">
        <v>3</v>
      </c>
      <c r="M113">
        <v>7</v>
      </c>
    </row>
    <row r="114" spans="1:13" x14ac:dyDescent="0.3">
      <c r="A114">
        <v>113</v>
      </c>
      <c r="B114">
        <v>19</v>
      </c>
      <c r="C114" t="s">
        <v>21</v>
      </c>
      <c r="D114" t="s">
        <v>14</v>
      </c>
      <c r="E114" t="s">
        <v>192</v>
      </c>
      <c r="F114" t="s">
        <v>85</v>
      </c>
      <c r="G114" t="s">
        <v>41</v>
      </c>
      <c r="H114" t="s">
        <v>26</v>
      </c>
      <c r="I114" t="s">
        <v>127</v>
      </c>
      <c r="J114">
        <v>7</v>
      </c>
      <c r="K114" t="s">
        <v>28</v>
      </c>
      <c r="L114">
        <v>2</v>
      </c>
      <c r="M114">
        <v>5</v>
      </c>
    </row>
    <row r="115" spans="1:13" x14ac:dyDescent="0.3">
      <c r="A115">
        <v>114</v>
      </c>
      <c r="B115">
        <v>22</v>
      </c>
      <c r="C115" t="s">
        <v>13</v>
      </c>
      <c r="D115" t="s">
        <v>22</v>
      </c>
      <c r="E115" t="s">
        <v>191</v>
      </c>
      <c r="F115" t="s">
        <v>59</v>
      </c>
      <c r="G115" t="s">
        <v>17</v>
      </c>
      <c r="H115" t="s">
        <v>18</v>
      </c>
      <c r="I115" t="s">
        <v>30</v>
      </c>
      <c r="J115">
        <v>5</v>
      </c>
      <c r="K115" t="s">
        <v>28</v>
      </c>
      <c r="L115">
        <v>4</v>
      </c>
      <c r="M115">
        <v>8</v>
      </c>
    </row>
    <row r="116" spans="1:13" x14ac:dyDescent="0.3">
      <c r="A116">
        <v>115</v>
      </c>
      <c r="B116">
        <v>20</v>
      </c>
      <c r="C116" t="s">
        <v>21</v>
      </c>
      <c r="D116" t="s">
        <v>14</v>
      </c>
      <c r="E116" t="s">
        <v>194</v>
      </c>
      <c r="F116" t="s">
        <v>16</v>
      </c>
      <c r="G116" t="s">
        <v>31</v>
      </c>
      <c r="H116" t="s">
        <v>18</v>
      </c>
      <c r="I116" t="s">
        <v>132</v>
      </c>
      <c r="J116">
        <v>6</v>
      </c>
      <c r="K116" t="s">
        <v>20</v>
      </c>
      <c r="L116">
        <v>3</v>
      </c>
      <c r="M116">
        <v>7</v>
      </c>
    </row>
    <row r="117" spans="1:13" x14ac:dyDescent="0.3">
      <c r="A117">
        <v>116</v>
      </c>
      <c r="B117">
        <v>19</v>
      </c>
      <c r="C117" t="s">
        <v>13</v>
      </c>
      <c r="D117" t="s">
        <v>14</v>
      </c>
      <c r="E117" t="s">
        <v>195</v>
      </c>
      <c r="F117" t="s">
        <v>56</v>
      </c>
      <c r="G117" t="s">
        <v>17</v>
      </c>
      <c r="H117" t="s">
        <v>26</v>
      </c>
      <c r="I117" t="s">
        <v>43</v>
      </c>
      <c r="J117">
        <v>8</v>
      </c>
      <c r="K117" t="s">
        <v>28</v>
      </c>
      <c r="L117">
        <v>2</v>
      </c>
      <c r="M117">
        <v>5</v>
      </c>
    </row>
    <row r="118" spans="1:13" x14ac:dyDescent="0.3">
      <c r="A118">
        <v>117</v>
      </c>
      <c r="B118">
        <v>21</v>
      </c>
      <c r="C118" t="s">
        <v>21</v>
      </c>
      <c r="D118" t="s">
        <v>22</v>
      </c>
      <c r="E118" t="s">
        <v>15</v>
      </c>
      <c r="F118" t="s">
        <v>30</v>
      </c>
      <c r="G118" t="s">
        <v>41</v>
      </c>
      <c r="H118" t="s">
        <v>18</v>
      </c>
      <c r="I118" t="s">
        <v>49</v>
      </c>
      <c r="J118">
        <v>5</v>
      </c>
      <c r="K118" t="s">
        <v>20</v>
      </c>
      <c r="L118">
        <v>4</v>
      </c>
      <c r="M118">
        <v>8</v>
      </c>
    </row>
    <row r="119" spans="1:13" x14ac:dyDescent="0.3">
      <c r="A119">
        <v>118</v>
      </c>
      <c r="B119">
        <v>20</v>
      </c>
      <c r="C119" t="s">
        <v>13</v>
      </c>
      <c r="D119" t="s">
        <v>14</v>
      </c>
      <c r="E119" t="s">
        <v>23</v>
      </c>
      <c r="F119" t="s">
        <v>72</v>
      </c>
      <c r="G119" t="s">
        <v>17</v>
      </c>
      <c r="H119" t="s">
        <v>18</v>
      </c>
      <c r="I119" t="s">
        <v>92</v>
      </c>
      <c r="J119">
        <v>6</v>
      </c>
      <c r="K119" t="s">
        <v>28</v>
      </c>
      <c r="L119">
        <v>3</v>
      </c>
      <c r="M119">
        <v>7</v>
      </c>
    </row>
    <row r="120" spans="1:13" x14ac:dyDescent="0.3">
      <c r="A120">
        <v>119</v>
      </c>
      <c r="B120">
        <v>22</v>
      </c>
      <c r="C120" t="s">
        <v>21</v>
      </c>
      <c r="D120" t="s">
        <v>22</v>
      </c>
      <c r="E120" t="s">
        <v>192</v>
      </c>
      <c r="F120" t="s">
        <v>77</v>
      </c>
      <c r="G120" t="s">
        <v>31</v>
      </c>
      <c r="H120" t="s">
        <v>26</v>
      </c>
      <c r="I120" t="s">
        <v>83</v>
      </c>
      <c r="J120">
        <v>7</v>
      </c>
      <c r="K120" t="s">
        <v>28</v>
      </c>
      <c r="L120">
        <v>2</v>
      </c>
      <c r="M120">
        <v>5</v>
      </c>
    </row>
    <row r="121" spans="1:13" x14ac:dyDescent="0.3">
      <c r="A121">
        <v>120</v>
      </c>
      <c r="B121">
        <v>19</v>
      </c>
      <c r="C121" t="s">
        <v>13</v>
      </c>
      <c r="D121" t="s">
        <v>14</v>
      </c>
      <c r="E121" t="s">
        <v>191</v>
      </c>
      <c r="F121" t="s">
        <v>87</v>
      </c>
      <c r="G121" t="s">
        <v>17</v>
      </c>
      <c r="H121" t="s">
        <v>18</v>
      </c>
      <c r="I121" t="s">
        <v>57</v>
      </c>
      <c r="J121">
        <v>5</v>
      </c>
      <c r="K121" t="s">
        <v>20</v>
      </c>
      <c r="L121">
        <v>4</v>
      </c>
      <c r="M121">
        <v>8</v>
      </c>
    </row>
    <row r="122" spans="1:13" x14ac:dyDescent="0.3">
      <c r="A122">
        <v>121</v>
      </c>
      <c r="B122">
        <v>20</v>
      </c>
      <c r="C122" t="s">
        <v>21</v>
      </c>
      <c r="D122" t="s">
        <v>14</v>
      </c>
      <c r="E122" t="s">
        <v>194</v>
      </c>
      <c r="F122" t="s">
        <v>78</v>
      </c>
      <c r="G122" t="s">
        <v>41</v>
      </c>
      <c r="H122" t="s">
        <v>18</v>
      </c>
      <c r="I122" t="s">
        <v>78</v>
      </c>
      <c r="J122">
        <v>6</v>
      </c>
      <c r="K122" t="s">
        <v>28</v>
      </c>
      <c r="L122">
        <v>3</v>
      </c>
      <c r="M122">
        <v>7</v>
      </c>
    </row>
    <row r="123" spans="1:13" x14ac:dyDescent="0.3">
      <c r="A123">
        <v>122</v>
      </c>
      <c r="B123">
        <v>21</v>
      </c>
      <c r="C123" t="s">
        <v>13</v>
      </c>
      <c r="D123" t="s">
        <v>22</v>
      </c>
      <c r="E123" t="s">
        <v>195</v>
      </c>
      <c r="F123" t="s">
        <v>123</v>
      </c>
      <c r="G123" t="s">
        <v>17</v>
      </c>
      <c r="H123" t="s">
        <v>26</v>
      </c>
      <c r="I123" t="s">
        <v>100</v>
      </c>
      <c r="J123">
        <v>8</v>
      </c>
      <c r="K123" t="s">
        <v>20</v>
      </c>
      <c r="L123">
        <v>2</v>
      </c>
      <c r="M123">
        <v>5</v>
      </c>
    </row>
    <row r="124" spans="1:13" x14ac:dyDescent="0.3">
      <c r="A124">
        <v>123</v>
      </c>
      <c r="B124">
        <v>19</v>
      </c>
      <c r="C124" t="s">
        <v>21</v>
      </c>
      <c r="D124" t="s">
        <v>14</v>
      </c>
      <c r="E124" t="s">
        <v>15</v>
      </c>
      <c r="F124" t="s">
        <v>80</v>
      </c>
      <c r="G124" t="s">
        <v>31</v>
      </c>
      <c r="H124" t="s">
        <v>18</v>
      </c>
      <c r="I124" t="s">
        <v>132</v>
      </c>
      <c r="J124">
        <v>5</v>
      </c>
      <c r="K124" t="s">
        <v>28</v>
      </c>
      <c r="L124">
        <v>4</v>
      </c>
      <c r="M124">
        <v>8</v>
      </c>
    </row>
    <row r="125" spans="1:13" x14ac:dyDescent="0.3">
      <c r="A125">
        <v>124</v>
      </c>
      <c r="B125">
        <v>22</v>
      </c>
      <c r="C125" t="s">
        <v>13</v>
      </c>
      <c r="D125" t="s">
        <v>22</v>
      </c>
      <c r="E125" t="s">
        <v>23</v>
      </c>
      <c r="F125" t="s">
        <v>49</v>
      </c>
      <c r="G125" t="s">
        <v>17</v>
      </c>
      <c r="H125" t="s">
        <v>18</v>
      </c>
      <c r="I125" t="s">
        <v>49</v>
      </c>
      <c r="J125">
        <v>6</v>
      </c>
      <c r="K125" t="s">
        <v>20</v>
      </c>
      <c r="L125">
        <v>3</v>
      </c>
      <c r="M125">
        <v>7</v>
      </c>
    </row>
    <row r="126" spans="1:13" x14ac:dyDescent="0.3">
      <c r="A126">
        <v>125</v>
      </c>
      <c r="B126">
        <v>20</v>
      </c>
      <c r="C126" t="s">
        <v>21</v>
      </c>
      <c r="D126" t="s">
        <v>14</v>
      </c>
      <c r="E126" t="s">
        <v>192</v>
      </c>
      <c r="F126" t="s">
        <v>40</v>
      </c>
      <c r="G126" t="s">
        <v>41</v>
      </c>
      <c r="H126" t="s">
        <v>26</v>
      </c>
      <c r="I126" t="s">
        <v>27</v>
      </c>
      <c r="J126">
        <v>7</v>
      </c>
      <c r="K126" t="s">
        <v>28</v>
      </c>
      <c r="L126">
        <v>2</v>
      </c>
      <c r="M126">
        <v>5</v>
      </c>
    </row>
    <row r="127" spans="1:13" x14ac:dyDescent="0.3">
      <c r="A127">
        <v>126</v>
      </c>
      <c r="B127">
        <v>21</v>
      </c>
      <c r="C127" t="s">
        <v>13</v>
      </c>
      <c r="D127" t="s">
        <v>22</v>
      </c>
      <c r="E127" t="s">
        <v>191</v>
      </c>
      <c r="F127" t="s">
        <v>16</v>
      </c>
      <c r="G127" t="s">
        <v>17</v>
      </c>
      <c r="H127" t="s">
        <v>18</v>
      </c>
      <c r="I127" t="s">
        <v>134</v>
      </c>
      <c r="J127">
        <v>5</v>
      </c>
      <c r="K127" t="s">
        <v>20</v>
      </c>
      <c r="L127">
        <v>4</v>
      </c>
      <c r="M127">
        <v>8</v>
      </c>
    </row>
    <row r="128" spans="1:13" x14ac:dyDescent="0.3">
      <c r="A128">
        <v>127</v>
      </c>
      <c r="B128">
        <v>19</v>
      </c>
      <c r="C128" t="s">
        <v>21</v>
      </c>
      <c r="D128" t="s">
        <v>14</v>
      </c>
      <c r="E128" t="s">
        <v>194</v>
      </c>
      <c r="F128" t="s">
        <v>72</v>
      </c>
      <c r="G128" t="s">
        <v>31</v>
      </c>
      <c r="H128" t="s">
        <v>18</v>
      </c>
      <c r="I128" t="s">
        <v>72</v>
      </c>
      <c r="J128">
        <v>6</v>
      </c>
      <c r="K128" t="s">
        <v>28</v>
      </c>
      <c r="L128">
        <v>3</v>
      </c>
      <c r="M128">
        <v>7</v>
      </c>
    </row>
    <row r="129" spans="1:13" x14ac:dyDescent="0.3">
      <c r="A129">
        <v>128</v>
      </c>
      <c r="B129">
        <v>20</v>
      </c>
      <c r="C129" t="s">
        <v>13</v>
      </c>
      <c r="D129" t="s">
        <v>14</v>
      </c>
      <c r="E129" t="s">
        <v>195</v>
      </c>
      <c r="F129" t="s">
        <v>97</v>
      </c>
      <c r="G129" t="s">
        <v>17</v>
      </c>
      <c r="H129" t="s">
        <v>26</v>
      </c>
      <c r="I129" t="s">
        <v>196</v>
      </c>
      <c r="J129">
        <v>8</v>
      </c>
      <c r="K129" t="s">
        <v>20</v>
      </c>
      <c r="L129">
        <v>2</v>
      </c>
      <c r="M129">
        <v>5</v>
      </c>
    </row>
    <row r="130" spans="1:13" x14ac:dyDescent="0.3">
      <c r="A130">
        <v>129</v>
      </c>
      <c r="B130">
        <v>22</v>
      </c>
      <c r="C130" t="s">
        <v>21</v>
      </c>
      <c r="D130" t="s">
        <v>22</v>
      </c>
      <c r="E130" t="s">
        <v>15</v>
      </c>
      <c r="F130" t="s">
        <v>114</v>
      </c>
      <c r="G130" t="s">
        <v>41</v>
      </c>
      <c r="H130" t="s">
        <v>18</v>
      </c>
      <c r="I130" t="s">
        <v>19</v>
      </c>
      <c r="J130">
        <v>5</v>
      </c>
      <c r="K130" t="s">
        <v>28</v>
      </c>
      <c r="L130">
        <v>4</v>
      </c>
      <c r="M130">
        <v>8</v>
      </c>
    </row>
    <row r="131" spans="1:13" x14ac:dyDescent="0.3">
      <c r="A131">
        <v>130</v>
      </c>
      <c r="B131">
        <v>21</v>
      </c>
      <c r="C131" t="s">
        <v>13</v>
      </c>
      <c r="D131" t="s">
        <v>22</v>
      </c>
      <c r="E131" t="s">
        <v>23</v>
      </c>
      <c r="F131" t="s">
        <v>110</v>
      </c>
      <c r="G131" t="s">
        <v>17</v>
      </c>
      <c r="H131" t="s">
        <v>18</v>
      </c>
      <c r="I131" t="s">
        <v>110</v>
      </c>
      <c r="J131">
        <v>6</v>
      </c>
      <c r="K131" t="s">
        <v>20</v>
      </c>
      <c r="L131">
        <v>3</v>
      </c>
      <c r="M131">
        <v>7</v>
      </c>
    </row>
    <row r="132" spans="1:13" x14ac:dyDescent="0.3">
      <c r="A132">
        <v>131</v>
      </c>
      <c r="B132">
        <v>19</v>
      </c>
      <c r="C132" t="s">
        <v>21</v>
      </c>
      <c r="D132" t="s">
        <v>14</v>
      </c>
      <c r="E132" t="s">
        <v>192</v>
      </c>
      <c r="F132" t="s">
        <v>197</v>
      </c>
      <c r="G132" t="s">
        <v>31</v>
      </c>
      <c r="H132" t="s">
        <v>26</v>
      </c>
      <c r="I132" t="s">
        <v>198</v>
      </c>
      <c r="J132">
        <v>7</v>
      </c>
      <c r="K132" t="s">
        <v>28</v>
      </c>
      <c r="L132">
        <v>2</v>
      </c>
      <c r="M132">
        <v>5</v>
      </c>
    </row>
    <row r="133" spans="1:13" x14ac:dyDescent="0.3">
      <c r="A133">
        <v>132</v>
      </c>
      <c r="B133">
        <v>20</v>
      </c>
      <c r="C133" t="s">
        <v>13</v>
      </c>
      <c r="D133" t="s">
        <v>14</v>
      </c>
      <c r="E133" t="s">
        <v>191</v>
      </c>
      <c r="F133" t="s">
        <v>32</v>
      </c>
      <c r="G133" t="s">
        <v>17</v>
      </c>
      <c r="H133" t="s">
        <v>18</v>
      </c>
      <c r="I133" t="s">
        <v>95</v>
      </c>
      <c r="J133">
        <v>5</v>
      </c>
      <c r="K133" t="s">
        <v>20</v>
      </c>
      <c r="L133">
        <v>4</v>
      </c>
      <c r="M133">
        <v>8</v>
      </c>
    </row>
    <row r="134" spans="1:13" x14ac:dyDescent="0.3">
      <c r="A134">
        <v>133</v>
      </c>
      <c r="B134">
        <v>22</v>
      </c>
      <c r="C134" t="s">
        <v>21</v>
      </c>
      <c r="D134" t="s">
        <v>22</v>
      </c>
      <c r="E134" t="s">
        <v>194</v>
      </c>
      <c r="F134" t="s">
        <v>59</v>
      </c>
      <c r="G134" t="s">
        <v>41</v>
      </c>
      <c r="H134" t="s">
        <v>18</v>
      </c>
      <c r="I134" t="s">
        <v>59</v>
      </c>
      <c r="J134">
        <v>6</v>
      </c>
      <c r="K134" t="s">
        <v>28</v>
      </c>
      <c r="L134">
        <v>3</v>
      </c>
      <c r="M134">
        <v>7</v>
      </c>
    </row>
    <row r="135" spans="1:13" x14ac:dyDescent="0.3">
      <c r="A135">
        <v>134</v>
      </c>
      <c r="B135">
        <v>21</v>
      </c>
      <c r="C135" t="s">
        <v>13</v>
      </c>
      <c r="D135" t="s">
        <v>22</v>
      </c>
      <c r="E135" t="s">
        <v>195</v>
      </c>
      <c r="F135" t="s">
        <v>67</v>
      </c>
      <c r="G135" t="s">
        <v>17</v>
      </c>
      <c r="H135" t="s">
        <v>26</v>
      </c>
      <c r="I135" t="s">
        <v>70</v>
      </c>
      <c r="J135">
        <v>8</v>
      </c>
      <c r="K135" t="s">
        <v>20</v>
      </c>
      <c r="L135">
        <v>2</v>
      </c>
      <c r="M135">
        <v>5</v>
      </c>
    </row>
    <row r="136" spans="1:13" x14ac:dyDescent="0.3">
      <c r="A136">
        <v>135</v>
      </c>
      <c r="B136">
        <v>19</v>
      </c>
      <c r="C136" t="s">
        <v>21</v>
      </c>
      <c r="D136" t="s">
        <v>14</v>
      </c>
      <c r="E136" t="s">
        <v>15</v>
      </c>
      <c r="F136" t="s">
        <v>85</v>
      </c>
      <c r="G136" t="s">
        <v>31</v>
      </c>
      <c r="H136" t="s">
        <v>18</v>
      </c>
      <c r="I136" t="s">
        <v>75</v>
      </c>
      <c r="J136">
        <v>5</v>
      </c>
      <c r="K136" t="s">
        <v>28</v>
      </c>
      <c r="L136">
        <v>4</v>
      </c>
      <c r="M136">
        <v>8</v>
      </c>
    </row>
    <row r="137" spans="1:13" x14ac:dyDescent="0.3">
      <c r="A137">
        <v>136</v>
      </c>
      <c r="B137">
        <v>20</v>
      </c>
      <c r="C137" t="s">
        <v>13</v>
      </c>
      <c r="D137" t="s">
        <v>14</v>
      </c>
      <c r="E137" t="s">
        <v>23</v>
      </c>
      <c r="F137" t="s">
        <v>87</v>
      </c>
      <c r="G137" t="s">
        <v>17</v>
      </c>
      <c r="H137" t="s">
        <v>18</v>
      </c>
      <c r="I137" t="s">
        <v>87</v>
      </c>
      <c r="J137">
        <v>6</v>
      </c>
      <c r="K137" t="s">
        <v>20</v>
      </c>
      <c r="L137">
        <v>3</v>
      </c>
      <c r="M137">
        <v>7</v>
      </c>
    </row>
    <row r="138" spans="1:13" x14ac:dyDescent="0.3">
      <c r="A138">
        <v>137</v>
      </c>
      <c r="B138">
        <v>22</v>
      </c>
      <c r="C138" t="s">
        <v>21</v>
      </c>
      <c r="D138" t="s">
        <v>22</v>
      </c>
      <c r="E138" t="s">
        <v>192</v>
      </c>
      <c r="F138" t="s">
        <v>199</v>
      </c>
      <c r="G138" t="s">
        <v>41</v>
      </c>
      <c r="H138" t="s">
        <v>26</v>
      </c>
      <c r="I138" t="s">
        <v>200</v>
      </c>
      <c r="J138">
        <v>7</v>
      </c>
      <c r="K138" t="s">
        <v>28</v>
      </c>
      <c r="L138">
        <v>2</v>
      </c>
      <c r="M138">
        <v>5</v>
      </c>
    </row>
    <row r="139" spans="1:13" x14ac:dyDescent="0.3">
      <c r="A139">
        <v>138</v>
      </c>
      <c r="B139">
        <v>21</v>
      </c>
      <c r="C139" t="s">
        <v>13</v>
      </c>
      <c r="D139" t="s">
        <v>22</v>
      </c>
      <c r="E139" t="s">
        <v>191</v>
      </c>
      <c r="F139" t="s">
        <v>56</v>
      </c>
      <c r="G139" t="s">
        <v>17</v>
      </c>
      <c r="H139" t="s">
        <v>18</v>
      </c>
      <c r="I139" t="s">
        <v>65</v>
      </c>
      <c r="J139">
        <v>5</v>
      </c>
      <c r="K139" t="s">
        <v>20</v>
      </c>
      <c r="L139">
        <v>4</v>
      </c>
      <c r="M139">
        <v>8</v>
      </c>
    </row>
    <row r="140" spans="1:13" x14ac:dyDescent="0.3">
      <c r="A140">
        <v>139</v>
      </c>
      <c r="B140">
        <v>19</v>
      </c>
      <c r="C140" t="s">
        <v>21</v>
      </c>
      <c r="D140" t="s">
        <v>14</v>
      </c>
      <c r="E140" t="s">
        <v>194</v>
      </c>
      <c r="F140" t="s">
        <v>80</v>
      </c>
      <c r="G140" t="s">
        <v>31</v>
      </c>
      <c r="H140" t="s">
        <v>18</v>
      </c>
      <c r="I140" t="s">
        <v>80</v>
      </c>
      <c r="J140">
        <v>6</v>
      </c>
      <c r="K140" t="s">
        <v>28</v>
      </c>
      <c r="L140">
        <v>3</v>
      </c>
      <c r="M140">
        <v>7</v>
      </c>
    </row>
    <row r="141" spans="1:13" x14ac:dyDescent="0.3">
      <c r="A141">
        <v>140</v>
      </c>
      <c r="B141">
        <v>20</v>
      </c>
      <c r="C141" t="s">
        <v>13</v>
      </c>
      <c r="D141" t="s">
        <v>14</v>
      </c>
      <c r="E141" t="s">
        <v>195</v>
      </c>
      <c r="F141" t="s">
        <v>52</v>
      </c>
      <c r="G141" t="s">
        <v>17</v>
      </c>
      <c r="H141" t="s">
        <v>26</v>
      </c>
      <c r="I141" t="s">
        <v>47</v>
      </c>
      <c r="J141">
        <v>8</v>
      </c>
      <c r="K141" t="s">
        <v>20</v>
      </c>
      <c r="L141">
        <v>2</v>
      </c>
      <c r="M141">
        <v>5</v>
      </c>
    </row>
    <row r="142" spans="1:13" x14ac:dyDescent="0.3">
      <c r="A142">
        <v>141</v>
      </c>
      <c r="B142">
        <v>22</v>
      </c>
      <c r="C142" t="s">
        <v>21</v>
      </c>
      <c r="D142" t="s">
        <v>22</v>
      </c>
      <c r="E142" t="s">
        <v>15</v>
      </c>
      <c r="F142" t="s">
        <v>77</v>
      </c>
      <c r="G142" t="s">
        <v>41</v>
      </c>
      <c r="H142" t="s">
        <v>18</v>
      </c>
      <c r="I142" t="s">
        <v>90</v>
      </c>
      <c r="J142">
        <v>5</v>
      </c>
      <c r="K142" t="s">
        <v>28</v>
      </c>
      <c r="L142">
        <v>4</v>
      </c>
      <c r="M142">
        <v>8</v>
      </c>
    </row>
    <row r="143" spans="1:13" x14ac:dyDescent="0.3">
      <c r="A143">
        <v>142</v>
      </c>
      <c r="B143">
        <v>21</v>
      </c>
      <c r="C143" t="s">
        <v>13</v>
      </c>
      <c r="D143" t="s">
        <v>22</v>
      </c>
      <c r="E143" t="s">
        <v>23</v>
      </c>
      <c r="F143" t="s">
        <v>16</v>
      </c>
      <c r="G143" t="s">
        <v>17</v>
      </c>
      <c r="H143" t="s">
        <v>18</v>
      </c>
      <c r="I143" t="s">
        <v>16</v>
      </c>
      <c r="J143">
        <v>6</v>
      </c>
      <c r="K143" t="s">
        <v>20</v>
      </c>
      <c r="L143">
        <v>3</v>
      </c>
      <c r="M143">
        <v>7</v>
      </c>
    </row>
    <row r="144" spans="1:13" x14ac:dyDescent="0.3">
      <c r="A144">
        <v>143</v>
      </c>
      <c r="B144">
        <v>19</v>
      </c>
      <c r="C144" t="s">
        <v>21</v>
      </c>
      <c r="D144" t="s">
        <v>14</v>
      </c>
      <c r="E144" t="s">
        <v>192</v>
      </c>
      <c r="F144" t="s">
        <v>116</v>
      </c>
      <c r="G144" t="s">
        <v>31</v>
      </c>
      <c r="H144" t="s">
        <v>26</v>
      </c>
      <c r="I144" t="s">
        <v>201</v>
      </c>
      <c r="J144">
        <v>7</v>
      </c>
      <c r="K144" t="s">
        <v>28</v>
      </c>
      <c r="L144">
        <v>2</v>
      </c>
      <c r="M144">
        <v>5</v>
      </c>
    </row>
    <row r="145" spans="1:13" x14ac:dyDescent="0.3">
      <c r="A145">
        <v>144</v>
      </c>
      <c r="B145">
        <v>20</v>
      </c>
      <c r="C145" t="s">
        <v>13</v>
      </c>
      <c r="D145" t="s">
        <v>14</v>
      </c>
      <c r="E145" t="s">
        <v>191</v>
      </c>
      <c r="F145" t="s">
        <v>123</v>
      </c>
      <c r="G145" t="s">
        <v>17</v>
      </c>
      <c r="H145" t="s">
        <v>18</v>
      </c>
      <c r="I145" t="s">
        <v>38</v>
      </c>
      <c r="J145">
        <v>5</v>
      </c>
      <c r="K145" t="s">
        <v>20</v>
      </c>
      <c r="L145">
        <v>4</v>
      </c>
      <c r="M145">
        <v>8</v>
      </c>
    </row>
    <row r="146" spans="1:13" x14ac:dyDescent="0.3">
      <c r="A146">
        <v>145</v>
      </c>
      <c r="B146">
        <v>22</v>
      </c>
      <c r="C146" t="s">
        <v>21</v>
      </c>
      <c r="D146" t="s">
        <v>22</v>
      </c>
      <c r="E146" t="s">
        <v>194</v>
      </c>
      <c r="F146" t="s">
        <v>114</v>
      </c>
      <c r="G146" t="s">
        <v>41</v>
      </c>
      <c r="H146" t="s">
        <v>18</v>
      </c>
      <c r="I146" t="s">
        <v>114</v>
      </c>
      <c r="J146">
        <v>6</v>
      </c>
      <c r="K146" t="s">
        <v>28</v>
      </c>
      <c r="L146">
        <v>3</v>
      </c>
      <c r="M146">
        <v>7</v>
      </c>
    </row>
    <row r="147" spans="1:13" x14ac:dyDescent="0.3">
      <c r="A147">
        <v>146</v>
      </c>
      <c r="B147">
        <v>21</v>
      </c>
      <c r="C147" t="s">
        <v>13</v>
      </c>
      <c r="D147" t="s">
        <v>22</v>
      </c>
      <c r="E147" t="s">
        <v>195</v>
      </c>
      <c r="F147" t="s">
        <v>94</v>
      </c>
      <c r="G147" t="s">
        <v>17</v>
      </c>
      <c r="H147" t="s">
        <v>26</v>
      </c>
      <c r="I147" t="s">
        <v>202</v>
      </c>
      <c r="J147">
        <v>8</v>
      </c>
      <c r="K147" t="s">
        <v>20</v>
      </c>
      <c r="L147">
        <v>2</v>
      </c>
      <c r="M147">
        <v>5</v>
      </c>
    </row>
    <row r="148" spans="1:13" x14ac:dyDescent="0.3">
      <c r="A148">
        <v>147</v>
      </c>
      <c r="B148">
        <v>19</v>
      </c>
      <c r="C148" t="s">
        <v>21</v>
      </c>
      <c r="D148" t="s">
        <v>14</v>
      </c>
      <c r="E148" t="s">
        <v>15</v>
      </c>
      <c r="F148" t="s">
        <v>40</v>
      </c>
      <c r="G148" t="s">
        <v>31</v>
      </c>
      <c r="H148" t="s">
        <v>18</v>
      </c>
      <c r="I148" t="s">
        <v>127</v>
      </c>
      <c r="J148">
        <v>5</v>
      </c>
      <c r="K148" t="s">
        <v>28</v>
      </c>
      <c r="L148">
        <v>4</v>
      </c>
      <c r="M148">
        <v>8</v>
      </c>
    </row>
    <row r="149" spans="1:13" x14ac:dyDescent="0.3">
      <c r="A149">
        <v>148</v>
      </c>
      <c r="B149">
        <v>20</v>
      </c>
      <c r="C149" t="s">
        <v>13</v>
      </c>
      <c r="D149" t="s">
        <v>14</v>
      </c>
      <c r="E149" t="s">
        <v>23</v>
      </c>
      <c r="F149" t="s">
        <v>32</v>
      </c>
      <c r="G149" t="s">
        <v>17</v>
      </c>
      <c r="H149" t="s">
        <v>18</v>
      </c>
      <c r="I149" t="s">
        <v>32</v>
      </c>
      <c r="J149">
        <v>6</v>
      </c>
      <c r="K149" t="s">
        <v>20</v>
      </c>
      <c r="L149">
        <v>3</v>
      </c>
      <c r="M149">
        <v>7</v>
      </c>
    </row>
    <row r="150" spans="1:13" x14ac:dyDescent="0.3">
      <c r="A150">
        <v>149</v>
      </c>
      <c r="B150">
        <v>22</v>
      </c>
      <c r="C150" t="s">
        <v>21</v>
      </c>
      <c r="D150" t="s">
        <v>22</v>
      </c>
      <c r="E150" t="s">
        <v>192</v>
      </c>
      <c r="F150" t="s">
        <v>64</v>
      </c>
      <c r="G150" t="s">
        <v>41</v>
      </c>
      <c r="H150" t="s">
        <v>26</v>
      </c>
      <c r="I150" t="s">
        <v>203</v>
      </c>
      <c r="J150">
        <v>7</v>
      </c>
      <c r="K150" t="s">
        <v>28</v>
      </c>
      <c r="L150">
        <v>2</v>
      </c>
      <c r="M150">
        <v>5</v>
      </c>
    </row>
    <row r="151" spans="1:13" x14ac:dyDescent="0.3">
      <c r="A151">
        <v>150</v>
      </c>
      <c r="B151">
        <v>21</v>
      </c>
      <c r="C151" t="s">
        <v>13</v>
      </c>
      <c r="D151" t="s">
        <v>22</v>
      </c>
      <c r="E151" t="s">
        <v>191</v>
      </c>
      <c r="F151" t="s">
        <v>97</v>
      </c>
      <c r="G151" t="s">
        <v>17</v>
      </c>
      <c r="H151" t="s">
        <v>18</v>
      </c>
      <c r="I151" t="s">
        <v>43</v>
      </c>
      <c r="J151">
        <v>5</v>
      </c>
      <c r="K151" t="s">
        <v>20</v>
      </c>
      <c r="L151">
        <v>4</v>
      </c>
      <c r="M151">
        <v>8</v>
      </c>
    </row>
    <row r="152" spans="1:13" x14ac:dyDescent="0.3">
      <c r="A152">
        <v>151</v>
      </c>
      <c r="B152">
        <v>19</v>
      </c>
      <c r="C152" t="s">
        <v>21</v>
      </c>
      <c r="D152" t="s">
        <v>14</v>
      </c>
      <c r="E152" t="s">
        <v>194</v>
      </c>
      <c r="F152" t="s">
        <v>85</v>
      </c>
      <c r="G152" t="s">
        <v>31</v>
      </c>
      <c r="H152" t="s">
        <v>18</v>
      </c>
      <c r="I152" t="s">
        <v>85</v>
      </c>
      <c r="J152">
        <v>6</v>
      </c>
      <c r="K152" t="s">
        <v>28</v>
      </c>
      <c r="L152">
        <v>3</v>
      </c>
      <c r="M152">
        <v>7</v>
      </c>
    </row>
    <row r="153" spans="1:13" x14ac:dyDescent="0.3">
      <c r="A153">
        <v>152</v>
      </c>
      <c r="B153">
        <v>20</v>
      </c>
      <c r="C153" t="s">
        <v>13</v>
      </c>
      <c r="D153" t="s">
        <v>14</v>
      </c>
      <c r="E153" t="s">
        <v>195</v>
      </c>
      <c r="F153" t="s">
        <v>103</v>
      </c>
      <c r="G153" t="s">
        <v>17</v>
      </c>
      <c r="H153" t="s">
        <v>26</v>
      </c>
      <c r="I153" t="s">
        <v>204</v>
      </c>
      <c r="J153">
        <v>8</v>
      </c>
      <c r="K153" t="s">
        <v>20</v>
      </c>
      <c r="L153">
        <v>2</v>
      </c>
      <c r="M153">
        <v>5</v>
      </c>
    </row>
    <row r="154" spans="1:13" x14ac:dyDescent="0.3">
      <c r="A154">
        <v>153</v>
      </c>
      <c r="B154">
        <v>22</v>
      </c>
      <c r="C154" t="s">
        <v>21</v>
      </c>
      <c r="D154" t="s">
        <v>22</v>
      </c>
      <c r="E154" t="s">
        <v>15</v>
      </c>
      <c r="F154" t="s">
        <v>197</v>
      </c>
      <c r="G154" t="s">
        <v>41</v>
      </c>
      <c r="H154" t="s">
        <v>18</v>
      </c>
      <c r="I154" t="s">
        <v>83</v>
      </c>
      <c r="J154">
        <v>5</v>
      </c>
      <c r="K154" t="s">
        <v>28</v>
      </c>
      <c r="L154">
        <v>4</v>
      </c>
      <c r="M154">
        <v>8</v>
      </c>
    </row>
    <row r="155" spans="1:13" x14ac:dyDescent="0.3">
      <c r="A155">
        <v>154</v>
      </c>
      <c r="B155">
        <v>21</v>
      </c>
      <c r="C155" t="s">
        <v>13</v>
      </c>
      <c r="D155" t="s">
        <v>22</v>
      </c>
      <c r="E155" t="s">
        <v>23</v>
      </c>
      <c r="F155" t="s">
        <v>56</v>
      </c>
      <c r="G155" t="s">
        <v>17</v>
      </c>
      <c r="H155" t="s">
        <v>18</v>
      </c>
      <c r="I155" t="s">
        <v>56</v>
      </c>
      <c r="J155">
        <v>6</v>
      </c>
      <c r="K155" t="s">
        <v>20</v>
      </c>
      <c r="L155">
        <v>3</v>
      </c>
      <c r="M155">
        <v>7</v>
      </c>
    </row>
    <row r="156" spans="1:13" x14ac:dyDescent="0.3">
      <c r="A156">
        <v>155</v>
      </c>
      <c r="B156">
        <v>19</v>
      </c>
      <c r="C156" t="s">
        <v>21</v>
      </c>
      <c r="D156" t="s">
        <v>14</v>
      </c>
      <c r="E156" t="s">
        <v>192</v>
      </c>
      <c r="F156" t="s">
        <v>74</v>
      </c>
      <c r="G156" t="s">
        <v>31</v>
      </c>
      <c r="H156" t="s">
        <v>26</v>
      </c>
      <c r="I156" t="s">
        <v>205</v>
      </c>
      <c r="J156">
        <v>7</v>
      </c>
      <c r="K156" t="s">
        <v>28</v>
      </c>
      <c r="L156">
        <v>2</v>
      </c>
      <c r="M156">
        <v>5</v>
      </c>
    </row>
    <row r="157" spans="1:13" x14ac:dyDescent="0.3">
      <c r="A157">
        <v>156</v>
      </c>
      <c r="B157">
        <v>20</v>
      </c>
      <c r="C157" t="s">
        <v>13</v>
      </c>
      <c r="D157" t="s">
        <v>14</v>
      </c>
      <c r="E157" t="s">
        <v>191</v>
      </c>
      <c r="F157" t="s">
        <v>67</v>
      </c>
      <c r="G157" t="s">
        <v>17</v>
      </c>
      <c r="H157" t="s">
        <v>18</v>
      </c>
      <c r="I157" t="s">
        <v>100</v>
      </c>
      <c r="J157">
        <v>5</v>
      </c>
      <c r="K157" t="s">
        <v>20</v>
      </c>
      <c r="L157">
        <v>4</v>
      </c>
      <c r="M157">
        <v>8</v>
      </c>
    </row>
    <row r="158" spans="1:13" x14ac:dyDescent="0.3">
      <c r="A158">
        <v>157</v>
      </c>
      <c r="B158">
        <v>22</v>
      </c>
      <c r="C158" t="s">
        <v>21</v>
      </c>
      <c r="D158" t="s">
        <v>22</v>
      </c>
      <c r="E158" t="s">
        <v>194</v>
      </c>
      <c r="F158" t="s">
        <v>77</v>
      </c>
      <c r="G158" t="s">
        <v>41</v>
      </c>
      <c r="H158" t="s">
        <v>18</v>
      </c>
      <c r="I158" t="s">
        <v>77</v>
      </c>
      <c r="J158">
        <v>6</v>
      </c>
      <c r="K158" t="s">
        <v>28</v>
      </c>
      <c r="L158">
        <v>3</v>
      </c>
      <c r="M158">
        <v>7</v>
      </c>
    </row>
    <row r="159" spans="1:13" x14ac:dyDescent="0.3">
      <c r="A159">
        <v>158</v>
      </c>
      <c r="B159">
        <v>21</v>
      </c>
      <c r="C159" t="s">
        <v>13</v>
      </c>
      <c r="D159" t="s">
        <v>22</v>
      </c>
      <c r="E159" t="s">
        <v>195</v>
      </c>
      <c r="F159" t="s">
        <v>206</v>
      </c>
      <c r="G159" t="s">
        <v>17</v>
      </c>
      <c r="H159" t="s">
        <v>26</v>
      </c>
      <c r="I159" t="s">
        <v>207</v>
      </c>
      <c r="J159">
        <v>8</v>
      </c>
      <c r="K159" t="s">
        <v>20</v>
      </c>
      <c r="L159">
        <v>2</v>
      </c>
      <c r="M159">
        <v>5</v>
      </c>
    </row>
    <row r="160" spans="1:13" x14ac:dyDescent="0.3">
      <c r="A160">
        <v>159</v>
      </c>
      <c r="B160">
        <v>19</v>
      </c>
      <c r="C160" t="s">
        <v>21</v>
      </c>
      <c r="D160" t="s">
        <v>14</v>
      </c>
      <c r="E160" t="s">
        <v>15</v>
      </c>
      <c r="F160" t="s">
        <v>199</v>
      </c>
      <c r="G160" t="s">
        <v>31</v>
      </c>
      <c r="H160" t="s">
        <v>18</v>
      </c>
      <c r="I160" t="s">
        <v>27</v>
      </c>
      <c r="J160">
        <v>5</v>
      </c>
      <c r="K160" t="s">
        <v>28</v>
      </c>
      <c r="L160">
        <v>4</v>
      </c>
      <c r="M160">
        <v>8</v>
      </c>
    </row>
    <row r="161" spans="1:13" x14ac:dyDescent="0.3">
      <c r="A161">
        <v>160</v>
      </c>
      <c r="B161">
        <v>20</v>
      </c>
      <c r="C161" t="s">
        <v>13</v>
      </c>
      <c r="D161" t="s">
        <v>14</v>
      </c>
      <c r="E161" t="s">
        <v>23</v>
      </c>
      <c r="F161" t="s">
        <v>123</v>
      </c>
      <c r="G161" t="s">
        <v>17</v>
      </c>
      <c r="H161" t="s">
        <v>18</v>
      </c>
      <c r="I161" t="s">
        <v>123</v>
      </c>
      <c r="J161">
        <v>6</v>
      </c>
      <c r="K161" t="s">
        <v>20</v>
      </c>
      <c r="L161">
        <v>3</v>
      </c>
      <c r="M161">
        <v>7</v>
      </c>
    </row>
    <row r="162" spans="1:13" x14ac:dyDescent="0.3">
      <c r="A162">
        <v>161</v>
      </c>
      <c r="B162">
        <v>19</v>
      </c>
      <c r="C162" t="s">
        <v>13</v>
      </c>
      <c r="D162" t="s">
        <v>14</v>
      </c>
      <c r="E162" t="s">
        <v>15</v>
      </c>
      <c r="F162" t="s">
        <v>80</v>
      </c>
      <c r="G162" t="s">
        <v>17</v>
      </c>
      <c r="H162" t="s">
        <v>18</v>
      </c>
      <c r="I162" t="s">
        <v>92</v>
      </c>
      <c r="J162">
        <v>5</v>
      </c>
      <c r="K162" t="s">
        <v>28</v>
      </c>
      <c r="L162">
        <v>3</v>
      </c>
      <c r="M162">
        <v>7</v>
      </c>
    </row>
    <row r="163" spans="1:13" x14ac:dyDescent="0.3">
      <c r="A163">
        <v>162</v>
      </c>
      <c r="B163">
        <v>21</v>
      </c>
      <c r="C163" t="s">
        <v>21</v>
      </c>
      <c r="D163" t="s">
        <v>22</v>
      </c>
      <c r="E163" t="s">
        <v>23</v>
      </c>
      <c r="F163" t="s">
        <v>56</v>
      </c>
      <c r="G163" t="s">
        <v>41</v>
      </c>
      <c r="H163" t="s">
        <v>26</v>
      </c>
      <c r="I163" t="s">
        <v>43</v>
      </c>
      <c r="J163">
        <v>7</v>
      </c>
      <c r="K163" t="s">
        <v>20</v>
      </c>
      <c r="L163">
        <v>2</v>
      </c>
      <c r="M163">
        <v>6</v>
      </c>
    </row>
    <row r="164" spans="1:13" x14ac:dyDescent="0.3">
      <c r="A164">
        <v>163</v>
      </c>
      <c r="B164">
        <v>20</v>
      </c>
      <c r="C164" t="s">
        <v>13</v>
      </c>
      <c r="D164" t="s">
        <v>14</v>
      </c>
      <c r="E164" t="s">
        <v>192</v>
      </c>
      <c r="F164" t="s">
        <v>59</v>
      </c>
      <c r="G164" t="s">
        <v>31</v>
      </c>
      <c r="H164" t="s">
        <v>18</v>
      </c>
      <c r="I164" t="s">
        <v>78</v>
      </c>
      <c r="J164">
        <v>6</v>
      </c>
      <c r="K164" t="s">
        <v>28</v>
      </c>
      <c r="L164">
        <v>4</v>
      </c>
      <c r="M164">
        <v>8</v>
      </c>
    </row>
    <row r="165" spans="1:13" x14ac:dyDescent="0.3">
      <c r="A165">
        <v>164</v>
      </c>
      <c r="B165">
        <v>22</v>
      </c>
      <c r="C165" t="s">
        <v>21</v>
      </c>
      <c r="D165" t="s">
        <v>22</v>
      </c>
      <c r="E165" t="s">
        <v>191</v>
      </c>
      <c r="F165" t="s">
        <v>77</v>
      </c>
      <c r="G165" t="s">
        <v>17</v>
      </c>
      <c r="H165" t="s">
        <v>18</v>
      </c>
      <c r="I165" t="s">
        <v>132</v>
      </c>
      <c r="J165">
        <v>5</v>
      </c>
      <c r="K165" t="s">
        <v>20</v>
      </c>
      <c r="L165">
        <v>3</v>
      </c>
      <c r="M165">
        <v>7</v>
      </c>
    </row>
    <row r="166" spans="1:13" x14ac:dyDescent="0.3">
      <c r="A166">
        <v>165</v>
      </c>
      <c r="B166">
        <v>19</v>
      </c>
      <c r="C166" t="s">
        <v>13</v>
      </c>
      <c r="D166" t="s">
        <v>14</v>
      </c>
      <c r="E166" t="s">
        <v>194</v>
      </c>
      <c r="F166" t="s">
        <v>114</v>
      </c>
      <c r="G166" t="s">
        <v>41</v>
      </c>
      <c r="H166" t="s">
        <v>26</v>
      </c>
      <c r="I166" t="s">
        <v>38</v>
      </c>
      <c r="J166">
        <v>7</v>
      </c>
      <c r="K166" t="s">
        <v>28</v>
      </c>
      <c r="L166">
        <v>2</v>
      </c>
      <c r="M166">
        <v>5</v>
      </c>
    </row>
    <row r="167" spans="1:13" x14ac:dyDescent="0.3">
      <c r="A167">
        <v>166</v>
      </c>
      <c r="B167">
        <v>21</v>
      </c>
      <c r="C167" t="s">
        <v>21</v>
      </c>
      <c r="D167" t="s">
        <v>22</v>
      </c>
      <c r="E167" t="s">
        <v>195</v>
      </c>
      <c r="F167" t="s">
        <v>87</v>
      </c>
      <c r="G167" t="s">
        <v>31</v>
      </c>
      <c r="H167" t="s">
        <v>18</v>
      </c>
      <c r="I167" t="s">
        <v>30</v>
      </c>
      <c r="J167">
        <v>6</v>
      </c>
      <c r="K167" t="s">
        <v>20</v>
      </c>
      <c r="L167">
        <v>4</v>
      </c>
      <c r="M167">
        <v>8</v>
      </c>
    </row>
    <row r="168" spans="1:13" x14ac:dyDescent="0.3">
      <c r="A168">
        <v>167</v>
      </c>
      <c r="B168">
        <v>20</v>
      </c>
      <c r="C168" t="s">
        <v>13</v>
      </c>
      <c r="D168" t="s">
        <v>14</v>
      </c>
      <c r="E168" t="s">
        <v>15</v>
      </c>
      <c r="F168" t="s">
        <v>85</v>
      </c>
      <c r="G168" t="s">
        <v>17</v>
      </c>
      <c r="H168" t="s">
        <v>18</v>
      </c>
      <c r="I168" t="s">
        <v>134</v>
      </c>
      <c r="J168">
        <v>5</v>
      </c>
      <c r="K168" t="s">
        <v>28</v>
      </c>
      <c r="L168">
        <v>3</v>
      </c>
      <c r="M168">
        <v>7</v>
      </c>
    </row>
    <row r="169" spans="1:13" x14ac:dyDescent="0.3">
      <c r="A169">
        <v>168</v>
      </c>
      <c r="B169">
        <v>22</v>
      </c>
      <c r="C169" t="s">
        <v>21</v>
      </c>
      <c r="D169" t="s">
        <v>22</v>
      </c>
      <c r="E169" t="s">
        <v>23</v>
      </c>
      <c r="F169" t="s">
        <v>16</v>
      </c>
      <c r="G169" t="s">
        <v>41</v>
      </c>
      <c r="H169" t="s">
        <v>26</v>
      </c>
      <c r="I169" t="s">
        <v>127</v>
      </c>
      <c r="J169">
        <v>7</v>
      </c>
      <c r="K169" t="s">
        <v>20</v>
      </c>
      <c r="L169">
        <v>2</v>
      </c>
      <c r="M169">
        <v>6</v>
      </c>
    </row>
    <row r="170" spans="1:13" x14ac:dyDescent="0.3">
      <c r="A170">
        <v>169</v>
      </c>
      <c r="B170">
        <v>19</v>
      </c>
      <c r="C170" t="s">
        <v>13</v>
      </c>
      <c r="D170" t="s">
        <v>14</v>
      </c>
      <c r="E170" t="s">
        <v>192</v>
      </c>
      <c r="F170" t="s">
        <v>110</v>
      </c>
      <c r="G170" t="s">
        <v>31</v>
      </c>
      <c r="H170" t="s">
        <v>18</v>
      </c>
      <c r="I170" t="s">
        <v>49</v>
      </c>
      <c r="J170">
        <v>6</v>
      </c>
      <c r="K170" t="s">
        <v>28</v>
      </c>
      <c r="L170">
        <v>4</v>
      </c>
      <c r="M170">
        <v>8</v>
      </c>
    </row>
    <row r="171" spans="1:13" x14ac:dyDescent="0.3">
      <c r="A171">
        <v>170</v>
      </c>
      <c r="B171">
        <v>21</v>
      </c>
      <c r="C171" t="s">
        <v>21</v>
      </c>
      <c r="D171" t="s">
        <v>22</v>
      </c>
      <c r="E171" t="s">
        <v>191</v>
      </c>
      <c r="F171" t="s">
        <v>123</v>
      </c>
      <c r="G171" t="s">
        <v>17</v>
      </c>
      <c r="H171" t="s">
        <v>18</v>
      </c>
      <c r="I171" t="s">
        <v>19</v>
      </c>
      <c r="J171">
        <v>5</v>
      </c>
      <c r="K171" t="s">
        <v>20</v>
      </c>
      <c r="L171">
        <v>3</v>
      </c>
      <c r="M171">
        <v>7</v>
      </c>
    </row>
    <row r="172" spans="1:13" x14ac:dyDescent="0.3">
      <c r="A172">
        <v>171</v>
      </c>
      <c r="B172">
        <v>20</v>
      </c>
      <c r="C172" t="s">
        <v>13</v>
      </c>
      <c r="D172" t="s">
        <v>14</v>
      </c>
      <c r="E172" t="s">
        <v>194</v>
      </c>
      <c r="F172" t="s">
        <v>32</v>
      </c>
      <c r="G172" t="s">
        <v>41</v>
      </c>
      <c r="H172" t="s">
        <v>26</v>
      </c>
      <c r="I172" t="s">
        <v>83</v>
      </c>
      <c r="J172">
        <v>7</v>
      </c>
      <c r="K172" t="s">
        <v>28</v>
      </c>
      <c r="L172">
        <v>2</v>
      </c>
      <c r="M172">
        <v>5</v>
      </c>
    </row>
    <row r="173" spans="1:13" x14ac:dyDescent="0.3">
      <c r="A173">
        <v>172</v>
      </c>
      <c r="B173">
        <v>22</v>
      </c>
      <c r="C173" t="s">
        <v>21</v>
      </c>
      <c r="D173" t="s">
        <v>22</v>
      </c>
      <c r="E173" t="s">
        <v>195</v>
      </c>
      <c r="F173" t="s">
        <v>80</v>
      </c>
      <c r="G173" t="s">
        <v>31</v>
      </c>
      <c r="H173" t="s">
        <v>18</v>
      </c>
      <c r="I173" t="s">
        <v>72</v>
      </c>
      <c r="J173">
        <v>6</v>
      </c>
      <c r="K173" t="s">
        <v>20</v>
      </c>
      <c r="L173">
        <v>4</v>
      </c>
      <c r="M173">
        <v>8</v>
      </c>
    </row>
    <row r="174" spans="1:13" x14ac:dyDescent="0.3">
      <c r="A174">
        <v>173</v>
      </c>
      <c r="B174">
        <v>19</v>
      </c>
      <c r="C174" t="s">
        <v>13</v>
      </c>
      <c r="D174" t="s">
        <v>14</v>
      </c>
      <c r="E174" t="s">
        <v>15</v>
      </c>
      <c r="F174" t="s">
        <v>56</v>
      </c>
      <c r="G174" t="s">
        <v>17</v>
      </c>
      <c r="H174" t="s">
        <v>18</v>
      </c>
      <c r="I174" t="s">
        <v>95</v>
      </c>
      <c r="J174">
        <v>5</v>
      </c>
      <c r="K174" t="s">
        <v>28</v>
      </c>
      <c r="L174">
        <v>3</v>
      </c>
      <c r="M174">
        <v>7</v>
      </c>
    </row>
    <row r="175" spans="1:13" x14ac:dyDescent="0.3">
      <c r="A175">
        <v>174</v>
      </c>
      <c r="B175">
        <v>21</v>
      </c>
      <c r="C175" t="s">
        <v>21</v>
      </c>
      <c r="D175" t="s">
        <v>22</v>
      </c>
      <c r="E175" t="s">
        <v>23</v>
      </c>
      <c r="F175" t="s">
        <v>114</v>
      </c>
      <c r="G175" t="s">
        <v>41</v>
      </c>
      <c r="H175" t="s">
        <v>26</v>
      </c>
      <c r="I175" t="s">
        <v>100</v>
      </c>
      <c r="J175">
        <v>7</v>
      </c>
      <c r="K175" t="s">
        <v>20</v>
      </c>
      <c r="L175">
        <v>2</v>
      </c>
      <c r="M175">
        <v>6</v>
      </c>
    </row>
    <row r="176" spans="1:13" x14ac:dyDescent="0.3">
      <c r="A176">
        <v>175</v>
      </c>
      <c r="B176">
        <v>20</v>
      </c>
      <c r="C176" t="s">
        <v>13</v>
      </c>
      <c r="D176" t="s">
        <v>14</v>
      </c>
      <c r="E176" t="s">
        <v>192</v>
      </c>
      <c r="F176" t="s">
        <v>72</v>
      </c>
      <c r="G176" t="s">
        <v>31</v>
      </c>
      <c r="H176" t="s">
        <v>18</v>
      </c>
      <c r="I176" t="s">
        <v>110</v>
      </c>
      <c r="J176">
        <v>6</v>
      </c>
      <c r="K176" t="s">
        <v>28</v>
      </c>
      <c r="L176">
        <v>4</v>
      </c>
      <c r="M176">
        <v>8</v>
      </c>
    </row>
    <row r="177" spans="1:13" x14ac:dyDescent="0.3">
      <c r="A177">
        <v>176</v>
      </c>
      <c r="B177">
        <v>22</v>
      </c>
      <c r="C177" t="s">
        <v>21</v>
      </c>
      <c r="D177" t="s">
        <v>22</v>
      </c>
      <c r="E177" t="s">
        <v>191</v>
      </c>
      <c r="F177" t="s">
        <v>40</v>
      </c>
      <c r="G177" t="s">
        <v>17</v>
      </c>
      <c r="H177" t="s">
        <v>18</v>
      </c>
      <c r="I177" t="s">
        <v>75</v>
      </c>
      <c r="J177">
        <v>5</v>
      </c>
      <c r="K177" t="s">
        <v>20</v>
      </c>
      <c r="L177">
        <v>3</v>
      </c>
      <c r="M177">
        <v>7</v>
      </c>
    </row>
    <row r="178" spans="1:13" x14ac:dyDescent="0.3">
      <c r="A178">
        <v>177</v>
      </c>
      <c r="B178">
        <v>19</v>
      </c>
      <c r="C178" t="s">
        <v>13</v>
      </c>
      <c r="D178" t="s">
        <v>14</v>
      </c>
      <c r="E178" t="s">
        <v>194</v>
      </c>
      <c r="F178" t="s">
        <v>85</v>
      </c>
      <c r="G178" t="s">
        <v>41</v>
      </c>
      <c r="H178" t="s">
        <v>26</v>
      </c>
      <c r="I178" t="s">
        <v>27</v>
      </c>
      <c r="J178">
        <v>7</v>
      </c>
      <c r="K178" t="s">
        <v>28</v>
      </c>
      <c r="L178">
        <v>2</v>
      </c>
      <c r="M178">
        <v>5</v>
      </c>
    </row>
    <row r="179" spans="1:13" x14ac:dyDescent="0.3">
      <c r="A179">
        <v>178</v>
      </c>
      <c r="B179">
        <v>21</v>
      </c>
      <c r="C179" t="s">
        <v>21</v>
      </c>
      <c r="D179" t="s">
        <v>22</v>
      </c>
      <c r="E179" t="s">
        <v>195</v>
      </c>
      <c r="F179" t="s">
        <v>16</v>
      </c>
      <c r="G179" t="s">
        <v>31</v>
      </c>
      <c r="H179" t="s">
        <v>18</v>
      </c>
      <c r="I179" t="s">
        <v>59</v>
      </c>
      <c r="J179">
        <v>6</v>
      </c>
      <c r="K179" t="s">
        <v>20</v>
      </c>
      <c r="L179">
        <v>4</v>
      </c>
      <c r="M179">
        <v>8</v>
      </c>
    </row>
    <row r="180" spans="1:13" x14ac:dyDescent="0.3">
      <c r="A180">
        <v>179</v>
      </c>
      <c r="B180">
        <v>20</v>
      </c>
      <c r="C180" t="s">
        <v>13</v>
      </c>
      <c r="D180" t="s">
        <v>14</v>
      </c>
      <c r="E180" t="s">
        <v>15</v>
      </c>
      <c r="F180" t="s">
        <v>77</v>
      </c>
      <c r="G180" t="s">
        <v>17</v>
      </c>
      <c r="H180" t="s">
        <v>18</v>
      </c>
      <c r="I180" t="s">
        <v>65</v>
      </c>
      <c r="J180">
        <v>5</v>
      </c>
      <c r="K180" t="s">
        <v>28</v>
      </c>
      <c r="L180">
        <v>3</v>
      </c>
      <c r="M180">
        <v>7</v>
      </c>
    </row>
    <row r="181" spans="1:13" x14ac:dyDescent="0.3">
      <c r="A181">
        <v>180</v>
      </c>
      <c r="B181">
        <v>22</v>
      </c>
      <c r="C181" t="s">
        <v>21</v>
      </c>
      <c r="D181" t="s">
        <v>22</v>
      </c>
      <c r="E181" t="s">
        <v>23</v>
      </c>
      <c r="F181" t="s">
        <v>32</v>
      </c>
      <c r="G181" t="s">
        <v>41</v>
      </c>
      <c r="H181" t="s">
        <v>26</v>
      </c>
      <c r="I181" t="s">
        <v>196</v>
      </c>
      <c r="J181">
        <v>7</v>
      </c>
      <c r="K181" t="s">
        <v>20</v>
      </c>
      <c r="L181">
        <v>2</v>
      </c>
      <c r="M181">
        <v>6</v>
      </c>
    </row>
    <row r="182" spans="1:13" x14ac:dyDescent="0.3">
      <c r="A182">
        <v>181</v>
      </c>
      <c r="B182">
        <v>19</v>
      </c>
      <c r="C182" t="s">
        <v>13</v>
      </c>
      <c r="D182" t="s">
        <v>14</v>
      </c>
      <c r="E182" t="s">
        <v>192</v>
      </c>
      <c r="F182" t="s">
        <v>49</v>
      </c>
      <c r="G182" t="s">
        <v>31</v>
      </c>
      <c r="H182" t="s">
        <v>18</v>
      </c>
      <c r="I182" t="s">
        <v>87</v>
      </c>
      <c r="J182">
        <v>6</v>
      </c>
      <c r="K182" t="s">
        <v>28</v>
      </c>
      <c r="L182">
        <v>4</v>
      </c>
      <c r="M182">
        <v>8</v>
      </c>
    </row>
    <row r="183" spans="1:13" x14ac:dyDescent="0.3">
      <c r="A183">
        <v>182</v>
      </c>
      <c r="B183">
        <v>21</v>
      </c>
      <c r="C183" t="s">
        <v>21</v>
      </c>
      <c r="D183" t="s">
        <v>22</v>
      </c>
      <c r="E183" t="s">
        <v>191</v>
      </c>
      <c r="F183" t="s">
        <v>97</v>
      </c>
      <c r="G183" t="s">
        <v>17</v>
      </c>
      <c r="H183" t="s">
        <v>18</v>
      </c>
      <c r="I183" t="s">
        <v>90</v>
      </c>
      <c r="J183">
        <v>5</v>
      </c>
      <c r="K183" t="s">
        <v>20</v>
      </c>
      <c r="L183">
        <v>3</v>
      </c>
      <c r="M183">
        <v>7</v>
      </c>
    </row>
    <row r="184" spans="1:13" x14ac:dyDescent="0.3">
      <c r="A184">
        <v>183</v>
      </c>
      <c r="B184">
        <v>20</v>
      </c>
      <c r="C184" t="s">
        <v>13</v>
      </c>
      <c r="D184" t="s">
        <v>14</v>
      </c>
      <c r="E184" t="s">
        <v>194</v>
      </c>
      <c r="F184" t="s">
        <v>56</v>
      </c>
      <c r="G184" t="s">
        <v>41</v>
      </c>
      <c r="H184" t="s">
        <v>26</v>
      </c>
      <c r="I184" t="s">
        <v>198</v>
      </c>
      <c r="J184">
        <v>7</v>
      </c>
      <c r="K184" t="s">
        <v>28</v>
      </c>
      <c r="L184">
        <v>2</v>
      </c>
      <c r="M184">
        <v>5</v>
      </c>
    </row>
    <row r="185" spans="1:13" x14ac:dyDescent="0.3">
      <c r="A185">
        <v>184</v>
      </c>
      <c r="B185">
        <v>22</v>
      </c>
      <c r="C185" t="s">
        <v>21</v>
      </c>
      <c r="D185" t="s">
        <v>22</v>
      </c>
      <c r="E185" t="s">
        <v>195</v>
      </c>
      <c r="F185" t="s">
        <v>114</v>
      </c>
      <c r="G185" t="s">
        <v>31</v>
      </c>
      <c r="H185" t="s">
        <v>18</v>
      </c>
      <c r="I185" t="s">
        <v>80</v>
      </c>
      <c r="J185">
        <v>6</v>
      </c>
      <c r="K185" t="s">
        <v>20</v>
      </c>
      <c r="L185">
        <v>4</v>
      </c>
      <c r="M185">
        <v>8</v>
      </c>
    </row>
    <row r="186" spans="1:13" x14ac:dyDescent="0.3">
      <c r="A186">
        <v>185</v>
      </c>
      <c r="B186">
        <v>19</v>
      </c>
      <c r="C186" t="s">
        <v>13</v>
      </c>
      <c r="D186" t="s">
        <v>14</v>
      </c>
      <c r="E186" t="s">
        <v>15</v>
      </c>
      <c r="F186" t="s">
        <v>123</v>
      </c>
      <c r="G186" t="s">
        <v>17</v>
      </c>
      <c r="H186" t="s">
        <v>18</v>
      </c>
      <c r="I186" t="s">
        <v>38</v>
      </c>
      <c r="J186">
        <v>5</v>
      </c>
      <c r="K186" t="s">
        <v>28</v>
      </c>
      <c r="L186">
        <v>3</v>
      </c>
      <c r="M186">
        <v>7</v>
      </c>
    </row>
    <row r="187" spans="1:13" x14ac:dyDescent="0.3">
      <c r="A187">
        <v>186</v>
      </c>
      <c r="B187">
        <v>21</v>
      </c>
      <c r="C187" t="s">
        <v>21</v>
      </c>
      <c r="D187" t="s">
        <v>22</v>
      </c>
      <c r="E187" t="s">
        <v>23</v>
      </c>
      <c r="F187" t="s">
        <v>85</v>
      </c>
      <c r="G187" t="s">
        <v>41</v>
      </c>
      <c r="H187" t="s">
        <v>26</v>
      </c>
      <c r="I187" t="s">
        <v>70</v>
      </c>
      <c r="J187">
        <v>7</v>
      </c>
      <c r="K187" t="s">
        <v>20</v>
      </c>
      <c r="L187">
        <v>2</v>
      </c>
      <c r="M187">
        <v>6</v>
      </c>
    </row>
    <row r="188" spans="1:13" x14ac:dyDescent="0.3">
      <c r="A188">
        <v>187</v>
      </c>
      <c r="B188">
        <v>20</v>
      </c>
      <c r="C188" t="s">
        <v>13</v>
      </c>
      <c r="D188" t="s">
        <v>14</v>
      </c>
      <c r="E188" t="s">
        <v>192</v>
      </c>
      <c r="F188" t="s">
        <v>78</v>
      </c>
      <c r="G188" t="s">
        <v>31</v>
      </c>
      <c r="H188" t="s">
        <v>18</v>
      </c>
      <c r="I188" t="s">
        <v>16</v>
      </c>
      <c r="J188">
        <v>6</v>
      </c>
      <c r="K188" t="s">
        <v>28</v>
      </c>
      <c r="L188">
        <v>4</v>
      </c>
      <c r="M188">
        <v>8</v>
      </c>
    </row>
    <row r="189" spans="1:13" x14ac:dyDescent="0.3">
      <c r="A189">
        <v>188</v>
      </c>
      <c r="B189">
        <v>22</v>
      </c>
      <c r="C189" t="s">
        <v>21</v>
      </c>
      <c r="D189" t="s">
        <v>22</v>
      </c>
      <c r="E189" t="s">
        <v>191</v>
      </c>
      <c r="F189" t="s">
        <v>197</v>
      </c>
      <c r="G189" t="s">
        <v>17</v>
      </c>
      <c r="H189" t="s">
        <v>18</v>
      </c>
      <c r="I189" t="s">
        <v>127</v>
      </c>
      <c r="J189">
        <v>5</v>
      </c>
      <c r="K189" t="s">
        <v>20</v>
      </c>
      <c r="L189">
        <v>3</v>
      </c>
      <c r="M189">
        <v>7</v>
      </c>
    </row>
    <row r="190" spans="1:13" x14ac:dyDescent="0.3">
      <c r="A190">
        <v>189</v>
      </c>
      <c r="B190">
        <v>19</v>
      </c>
      <c r="C190" t="s">
        <v>13</v>
      </c>
      <c r="D190" t="s">
        <v>14</v>
      </c>
      <c r="E190" t="s">
        <v>194</v>
      </c>
      <c r="F190" t="s">
        <v>77</v>
      </c>
      <c r="G190" t="s">
        <v>41</v>
      </c>
      <c r="H190" t="s">
        <v>26</v>
      </c>
      <c r="I190" t="s">
        <v>200</v>
      </c>
      <c r="J190">
        <v>7</v>
      </c>
      <c r="K190" t="s">
        <v>28</v>
      </c>
      <c r="L190">
        <v>2</v>
      </c>
      <c r="M190">
        <v>5</v>
      </c>
    </row>
    <row r="191" spans="1:13" x14ac:dyDescent="0.3">
      <c r="A191">
        <v>190</v>
      </c>
      <c r="B191">
        <v>21</v>
      </c>
      <c r="C191" t="s">
        <v>21</v>
      </c>
      <c r="D191" t="s">
        <v>22</v>
      </c>
      <c r="E191" t="s">
        <v>195</v>
      </c>
      <c r="F191" t="s">
        <v>32</v>
      </c>
      <c r="G191" t="s">
        <v>31</v>
      </c>
      <c r="H191" t="s">
        <v>18</v>
      </c>
      <c r="I191" t="s">
        <v>114</v>
      </c>
      <c r="J191">
        <v>6</v>
      </c>
      <c r="K191" t="s">
        <v>20</v>
      </c>
      <c r="L191">
        <v>4</v>
      </c>
      <c r="M191">
        <v>8</v>
      </c>
    </row>
    <row r="192" spans="1:13" x14ac:dyDescent="0.3">
      <c r="A192">
        <v>191</v>
      </c>
      <c r="B192">
        <v>20</v>
      </c>
      <c r="C192" t="s">
        <v>13</v>
      </c>
      <c r="D192" t="s">
        <v>14</v>
      </c>
      <c r="E192" t="s">
        <v>15</v>
      </c>
      <c r="F192" t="s">
        <v>40</v>
      </c>
      <c r="G192" t="s">
        <v>17</v>
      </c>
      <c r="H192" t="s">
        <v>18</v>
      </c>
      <c r="I192" t="s">
        <v>43</v>
      </c>
      <c r="J192">
        <v>5</v>
      </c>
      <c r="K192" t="s">
        <v>28</v>
      </c>
      <c r="L192">
        <v>3</v>
      </c>
      <c r="M192">
        <v>7</v>
      </c>
    </row>
    <row r="193" spans="1:13" x14ac:dyDescent="0.3">
      <c r="A193">
        <v>192</v>
      </c>
      <c r="B193">
        <v>22</v>
      </c>
      <c r="C193" t="s">
        <v>21</v>
      </c>
      <c r="D193" t="s">
        <v>22</v>
      </c>
      <c r="E193" t="s">
        <v>23</v>
      </c>
      <c r="F193" t="s">
        <v>56</v>
      </c>
      <c r="G193" t="s">
        <v>41</v>
      </c>
      <c r="H193" t="s">
        <v>26</v>
      </c>
      <c r="I193" t="s">
        <v>47</v>
      </c>
      <c r="J193">
        <v>7</v>
      </c>
      <c r="K193" t="s">
        <v>20</v>
      </c>
      <c r="L193">
        <v>2</v>
      </c>
      <c r="M193">
        <v>6</v>
      </c>
    </row>
    <row r="194" spans="1:13" x14ac:dyDescent="0.3">
      <c r="A194">
        <v>193</v>
      </c>
      <c r="B194">
        <v>19</v>
      </c>
      <c r="C194" t="s">
        <v>13</v>
      </c>
      <c r="D194" t="s">
        <v>14</v>
      </c>
      <c r="E194" t="s">
        <v>192</v>
      </c>
      <c r="F194" t="s">
        <v>30</v>
      </c>
      <c r="G194" t="s">
        <v>31</v>
      </c>
      <c r="H194" t="s">
        <v>18</v>
      </c>
      <c r="I194" t="s">
        <v>32</v>
      </c>
      <c r="J194">
        <v>6</v>
      </c>
      <c r="K194" t="s">
        <v>28</v>
      </c>
      <c r="L194">
        <v>4</v>
      </c>
      <c r="M194">
        <v>8</v>
      </c>
    </row>
    <row r="195" spans="1:13" x14ac:dyDescent="0.3">
      <c r="A195">
        <v>194</v>
      </c>
      <c r="B195">
        <v>21</v>
      </c>
      <c r="C195" t="s">
        <v>21</v>
      </c>
      <c r="D195" t="s">
        <v>22</v>
      </c>
      <c r="E195" t="s">
        <v>191</v>
      </c>
      <c r="F195" t="s">
        <v>67</v>
      </c>
      <c r="G195" t="s">
        <v>17</v>
      </c>
      <c r="H195" t="s">
        <v>18</v>
      </c>
      <c r="I195" t="s">
        <v>83</v>
      </c>
      <c r="J195">
        <v>5</v>
      </c>
      <c r="K195" t="s">
        <v>20</v>
      </c>
      <c r="L195">
        <v>3</v>
      </c>
      <c r="M195">
        <v>7</v>
      </c>
    </row>
    <row r="196" spans="1:13" x14ac:dyDescent="0.3">
      <c r="A196">
        <v>195</v>
      </c>
      <c r="B196">
        <v>20</v>
      </c>
      <c r="C196" t="s">
        <v>13</v>
      </c>
      <c r="D196" t="s">
        <v>14</v>
      </c>
      <c r="E196" t="s">
        <v>194</v>
      </c>
      <c r="F196" t="s">
        <v>123</v>
      </c>
      <c r="G196" t="s">
        <v>41</v>
      </c>
      <c r="H196" t="s">
        <v>26</v>
      </c>
      <c r="I196" t="s">
        <v>201</v>
      </c>
      <c r="J196">
        <v>7</v>
      </c>
      <c r="K196" t="s">
        <v>28</v>
      </c>
      <c r="L196">
        <v>2</v>
      </c>
      <c r="M196">
        <v>5</v>
      </c>
    </row>
    <row r="197" spans="1:13" x14ac:dyDescent="0.3">
      <c r="A197">
        <v>196</v>
      </c>
      <c r="B197">
        <v>22</v>
      </c>
      <c r="C197" t="s">
        <v>21</v>
      </c>
      <c r="D197" t="s">
        <v>22</v>
      </c>
      <c r="E197" t="s">
        <v>195</v>
      </c>
      <c r="F197" t="s">
        <v>85</v>
      </c>
      <c r="G197" t="s">
        <v>31</v>
      </c>
      <c r="H197" t="s">
        <v>18</v>
      </c>
      <c r="I197" t="s">
        <v>85</v>
      </c>
      <c r="J197">
        <v>6</v>
      </c>
      <c r="K197" t="s">
        <v>20</v>
      </c>
      <c r="L197">
        <v>4</v>
      </c>
      <c r="M197">
        <v>8</v>
      </c>
    </row>
    <row r="198" spans="1:13" x14ac:dyDescent="0.3">
      <c r="A198">
        <v>197</v>
      </c>
      <c r="B198">
        <v>19</v>
      </c>
      <c r="C198" t="s">
        <v>13</v>
      </c>
      <c r="D198" t="s">
        <v>14</v>
      </c>
      <c r="E198" t="s">
        <v>15</v>
      </c>
      <c r="F198" t="s">
        <v>97</v>
      </c>
      <c r="G198" t="s">
        <v>17</v>
      </c>
      <c r="H198" t="s">
        <v>18</v>
      </c>
      <c r="I198" t="s">
        <v>100</v>
      </c>
      <c r="J198">
        <v>5</v>
      </c>
      <c r="K198" t="s">
        <v>28</v>
      </c>
      <c r="L198">
        <v>3</v>
      </c>
      <c r="M198">
        <v>7</v>
      </c>
    </row>
    <row r="199" spans="1:13" x14ac:dyDescent="0.3">
      <c r="A199">
        <v>198</v>
      </c>
      <c r="B199">
        <v>21</v>
      </c>
      <c r="C199" t="s">
        <v>21</v>
      </c>
      <c r="D199" t="s">
        <v>22</v>
      </c>
      <c r="E199" t="s">
        <v>23</v>
      </c>
      <c r="F199" t="s">
        <v>77</v>
      </c>
      <c r="G199" t="s">
        <v>41</v>
      </c>
      <c r="H199" t="s">
        <v>26</v>
      </c>
      <c r="I199" t="s">
        <v>202</v>
      </c>
      <c r="J199">
        <v>7</v>
      </c>
      <c r="K199" t="s">
        <v>20</v>
      </c>
      <c r="L199">
        <v>2</v>
      </c>
      <c r="M199">
        <v>6</v>
      </c>
    </row>
    <row r="200" spans="1:13" x14ac:dyDescent="0.3">
      <c r="A200">
        <v>199</v>
      </c>
      <c r="B200">
        <v>20</v>
      </c>
      <c r="C200" t="s">
        <v>13</v>
      </c>
      <c r="D200" t="s">
        <v>14</v>
      </c>
      <c r="E200" t="s">
        <v>192</v>
      </c>
      <c r="F200" t="s">
        <v>92</v>
      </c>
      <c r="G200" t="s">
        <v>31</v>
      </c>
      <c r="H200" t="s">
        <v>18</v>
      </c>
      <c r="I200" t="s">
        <v>56</v>
      </c>
      <c r="J200">
        <v>6</v>
      </c>
      <c r="K200" t="s">
        <v>28</v>
      </c>
      <c r="L200">
        <v>4</v>
      </c>
      <c r="M200">
        <v>8</v>
      </c>
    </row>
    <row r="201" spans="1:13" x14ac:dyDescent="0.3">
      <c r="A201">
        <v>200</v>
      </c>
      <c r="B201">
        <v>22</v>
      </c>
      <c r="C201" t="s">
        <v>21</v>
      </c>
      <c r="D201" t="s">
        <v>22</v>
      </c>
      <c r="E201" t="s">
        <v>191</v>
      </c>
      <c r="F201" t="s">
        <v>199</v>
      </c>
      <c r="G201" t="s">
        <v>17</v>
      </c>
      <c r="H201" t="s">
        <v>18</v>
      </c>
      <c r="I201" t="s">
        <v>27</v>
      </c>
      <c r="J201">
        <v>5</v>
      </c>
      <c r="K201" t="s">
        <v>20</v>
      </c>
      <c r="L201">
        <v>3</v>
      </c>
      <c r="M201">
        <v>7</v>
      </c>
    </row>
    <row r="202" spans="1:13" x14ac:dyDescent="0.3">
      <c r="A202">
        <v>201</v>
      </c>
      <c r="B202">
        <v>19</v>
      </c>
      <c r="C202" t="s">
        <v>13</v>
      </c>
      <c r="D202" t="s">
        <v>14</v>
      </c>
      <c r="E202" t="s">
        <v>194</v>
      </c>
      <c r="F202" t="s">
        <v>40</v>
      </c>
      <c r="G202" t="s">
        <v>41</v>
      </c>
      <c r="H202" t="s">
        <v>26</v>
      </c>
      <c r="I202" t="s">
        <v>203</v>
      </c>
      <c r="J202">
        <v>7</v>
      </c>
      <c r="K202" t="s">
        <v>28</v>
      </c>
      <c r="L202">
        <v>2</v>
      </c>
      <c r="M202">
        <v>5</v>
      </c>
    </row>
    <row r="203" spans="1:13" x14ac:dyDescent="0.3">
      <c r="A203">
        <v>202</v>
      </c>
      <c r="B203">
        <v>21</v>
      </c>
      <c r="C203" t="s">
        <v>21</v>
      </c>
      <c r="D203" t="s">
        <v>22</v>
      </c>
      <c r="E203" t="s">
        <v>195</v>
      </c>
      <c r="F203" t="s">
        <v>56</v>
      </c>
      <c r="G203" t="s">
        <v>31</v>
      </c>
      <c r="H203" t="s">
        <v>18</v>
      </c>
      <c r="I203" t="s">
        <v>77</v>
      </c>
      <c r="J203">
        <v>6</v>
      </c>
      <c r="K203" t="s">
        <v>20</v>
      </c>
      <c r="L203">
        <v>4</v>
      </c>
      <c r="M203">
        <v>8</v>
      </c>
    </row>
    <row r="204" spans="1:13" x14ac:dyDescent="0.3">
      <c r="A204">
        <v>203</v>
      </c>
      <c r="B204">
        <v>20</v>
      </c>
      <c r="C204" t="s">
        <v>13</v>
      </c>
      <c r="D204" t="s">
        <v>14</v>
      </c>
      <c r="E204" t="s">
        <v>15</v>
      </c>
      <c r="F204" t="s">
        <v>197</v>
      </c>
      <c r="G204" t="s">
        <v>17</v>
      </c>
      <c r="H204" t="s">
        <v>18</v>
      </c>
      <c r="I204" t="s">
        <v>196</v>
      </c>
      <c r="J204">
        <v>5</v>
      </c>
      <c r="K204" t="s">
        <v>28</v>
      </c>
      <c r="L204">
        <v>3</v>
      </c>
      <c r="M204">
        <v>7</v>
      </c>
    </row>
    <row r="205" spans="1:13" x14ac:dyDescent="0.3">
      <c r="A205">
        <v>204</v>
      </c>
      <c r="B205">
        <v>22</v>
      </c>
      <c r="C205" t="s">
        <v>21</v>
      </c>
      <c r="D205" t="s">
        <v>22</v>
      </c>
      <c r="E205" t="s">
        <v>23</v>
      </c>
      <c r="F205" t="s">
        <v>123</v>
      </c>
      <c r="G205" t="s">
        <v>41</v>
      </c>
      <c r="H205" t="s">
        <v>26</v>
      </c>
      <c r="I205" t="s">
        <v>204</v>
      </c>
      <c r="J205">
        <v>7</v>
      </c>
      <c r="K205" t="s">
        <v>20</v>
      </c>
      <c r="L205">
        <v>2</v>
      </c>
      <c r="M205">
        <v>6</v>
      </c>
    </row>
    <row r="206" spans="1:13" x14ac:dyDescent="0.3">
      <c r="A206">
        <v>205</v>
      </c>
      <c r="B206">
        <v>19</v>
      </c>
      <c r="C206" t="s">
        <v>13</v>
      </c>
      <c r="D206" t="s">
        <v>14</v>
      </c>
      <c r="E206" t="s">
        <v>192</v>
      </c>
      <c r="F206" t="s">
        <v>57</v>
      </c>
      <c r="G206" t="s">
        <v>31</v>
      </c>
      <c r="H206" t="s">
        <v>18</v>
      </c>
      <c r="I206" t="s">
        <v>123</v>
      </c>
      <c r="J206">
        <v>6</v>
      </c>
      <c r="K206" t="s">
        <v>28</v>
      </c>
      <c r="L206">
        <v>4</v>
      </c>
      <c r="M206">
        <v>8</v>
      </c>
    </row>
    <row r="207" spans="1:13" x14ac:dyDescent="0.3">
      <c r="A207">
        <v>206</v>
      </c>
      <c r="B207">
        <v>21</v>
      </c>
      <c r="C207" t="s">
        <v>21</v>
      </c>
      <c r="D207" t="s">
        <v>22</v>
      </c>
      <c r="E207" t="s">
        <v>191</v>
      </c>
      <c r="F207" t="s">
        <v>52</v>
      </c>
      <c r="G207" t="s">
        <v>17</v>
      </c>
      <c r="H207" t="s">
        <v>18</v>
      </c>
      <c r="I207" t="s">
        <v>198</v>
      </c>
      <c r="J207">
        <v>5</v>
      </c>
      <c r="K207" t="s">
        <v>20</v>
      </c>
      <c r="L207">
        <v>3</v>
      </c>
      <c r="M207">
        <v>7</v>
      </c>
    </row>
    <row r="208" spans="1:13" x14ac:dyDescent="0.3">
      <c r="A208">
        <v>207</v>
      </c>
      <c r="B208">
        <v>20</v>
      </c>
      <c r="C208" t="s">
        <v>13</v>
      </c>
      <c r="D208" t="s">
        <v>14</v>
      </c>
      <c r="E208" t="s">
        <v>194</v>
      </c>
      <c r="F208" t="s">
        <v>97</v>
      </c>
      <c r="G208" t="s">
        <v>41</v>
      </c>
      <c r="H208" t="s">
        <v>26</v>
      </c>
      <c r="I208" t="s">
        <v>205</v>
      </c>
      <c r="J208">
        <v>7</v>
      </c>
      <c r="K208" t="s">
        <v>28</v>
      </c>
      <c r="L208">
        <v>2</v>
      </c>
      <c r="M208">
        <v>5</v>
      </c>
    </row>
    <row r="209" spans="1:13" x14ac:dyDescent="0.3">
      <c r="A209">
        <v>208</v>
      </c>
      <c r="B209">
        <v>22</v>
      </c>
      <c r="C209" t="s">
        <v>21</v>
      </c>
      <c r="D209" t="s">
        <v>22</v>
      </c>
      <c r="E209" t="s">
        <v>195</v>
      </c>
      <c r="F209" t="s">
        <v>77</v>
      </c>
      <c r="G209" t="s">
        <v>31</v>
      </c>
      <c r="H209" t="s">
        <v>18</v>
      </c>
      <c r="I209" t="s">
        <v>40</v>
      </c>
      <c r="J209">
        <v>6</v>
      </c>
      <c r="K209" t="s">
        <v>20</v>
      </c>
      <c r="L209">
        <v>4</v>
      </c>
      <c r="M209">
        <v>8</v>
      </c>
    </row>
    <row r="210" spans="1:13" x14ac:dyDescent="0.3">
      <c r="A210">
        <v>209</v>
      </c>
      <c r="B210">
        <v>19</v>
      </c>
      <c r="C210" t="s">
        <v>13</v>
      </c>
      <c r="D210" t="s">
        <v>14</v>
      </c>
      <c r="E210" t="s">
        <v>15</v>
      </c>
      <c r="F210" t="s">
        <v>67</v>
      </c>
      <c r="G210" t="s">
        <v>17</v>
      </c>
      <c r="H210" t="s">
        <v>18</v>
      </c>
      <c r="I210" t="s">
        <v>70</v>
      </c>
      <c r="J210">
        <v>5</v>
      </c>
      <c r="K210" t="s">
        <v>28</v>
      </c>
      <c r="L210">
        <v>3</v>
      </c>
      <c r="M210">
        <v>7</v>
      </c>
    </row>
    <row r="211" spans="1:13" x14ac:dyDescent="0.3">
      <c r="A211">
        <v>210</v>
      </c>
      <c r="B211">
        <v>21</v>
      </c>
      <c r="C211" t="s">
        <v>21</v>
      </c>
      <c r="D211" t="s">
        <v>22</v>
      </c>
      <c r="E211" t="s">
        <v>23</v>
      </c>
      <c r="F211" t="s">
        <v>40</v>
      </c>
      <c r="G211" t="s">
        <v>41</v>
      </c>
      <c r="H211" t="s">
        <v>26</v>
      </c>
      <c r="I211" t="s">
        <v>207</v>
      </c>
      <c r="J211">
        <v>7</v>
      </c>
      <c r="K211" t="s">
        <v>20</v>
      </c>
      <c r="L211">
        <v>2</v>
      </c>
      <c r="M211">
        <v>6</v>
      </c>
    </row>
    <row r="212" spans="1:13" x14ac:dyDescent="0.3">
      <c r="A212">
        <v>211</v>
      </c>
      <c r="B212">
        <v>20</v>
      </c>
      <c r="C212" t="s">
        <v>13</v>
      </c>
      <c r="D212" t="s">
        <v>14</v>
      </c>
      <c r="E212" t="s">
        <v>192</v>
      </c>
      <c r="F212" t="s">
        <v>132</v>
      </c>
      <c r="G212" t="s">
        <v>31</v>
      </c>
      <c r="H212" t="s">
        <v>18</v>
      </c>
      <c r="I212" t="s">
        <v>97</v>
      </c>
      <c r="J212">
        <v>6</v>
      </c>
      <c r="K212" t="s">
        <v>28</v>
      </c>
      <c r="L212">
        <v>4</v>
      </c>
      <c r="M212">
        <v>8</v>
      </c>
    </row>
    <row r="213" spans="1:13" x14ac:dyDescent="0.3">
      <c r="A213">
        <v>212</v>
      </c>
      <c r="B213">
        <v>22</v>
      </c>
      <c r="C213" t="s">
        <v>21</v>
      </c>
      <c r="D213" t="s">
        <v>22</v>
      </c>
      <c r="E213" t="s">
        <v>191</v>
      </c>
      <c r="F213" t="s">
        <v>116</v>
      </c>
      <c r="G213" t="s">
        <v>17</v>
      </c>
      <c r="H213" t="s">
        <v>18</v>
      </c>
      <c r="I213" t="s">
        <v>200</v>
      </c>
      <c r="J213">
        <v>5</v>
      </c>
      <c r="K213" t="s">
        <v>20</v>
      </c>
      <c r="L213">
        <v>3</v>
      </c>
      <c r="M213">
        <v>7</v>
      </c>
    </row>
    <row r="214" spans="1:13" x14ac:dyDescent="0.3">
      <c r="A214">
        <v>213</v>
      </c>
      <c r="B214">
        <v>19</v>
      </c>
      <c r="C214" t="s">
        <v>13</v>
      </c>
      <c r="D214" t="s">
        <v>14</v>
      </c>
      <c r="E214" t="s">
        <v>194</v>
      </c>
      <c r="F214" t="s">
        <v>197</v>
      </c>
      <c r="G214" t="s">
        <v>41</v>
      </c>
      <c r="H214" t="s">
        <v>26</v>
      </c>
      <c r="I214" t="s">
        <v>208</v>
      </c>
      <c r="J214">
        <v>7</v>
      </c>
      <c r="K214" t="s">
        <v>28</v>
      </c>
      <c r="L214">
        <v>2</v>
      </c>
      <c r="M214">
        <v>5</v>
      </c>
    </row>
    <row r="215" spans="1:13" x14ac:dyDescent="0.3">
      <c r="A215">
        <v>214</v>
      </c>
      <c r="B215">
        <v>21</v>
      </c>
      <c r="C215" t="s">
        <v>21</v>
      </c>
      <c r="D215" t="s">
        <v>22</v>
      </c>
      <c r="E215" t="s">
        <v>195</v>
      </c>
      <c r="F215" t="s">
        <v>123</v>
      </c>
      <c r="G215" t="s">
        <v>31</v>
      </c>
      <c r="H215" t="s">
        <v>18</v>
      </c>
      <c r="I215" t="s">
        <v>197</v>
      </c>
      <c r="J215">
        <v>6</v>
      </c>
      <c r="K215" t="s">
        <v>20</v>
      </c>
      <c r="L215">
        <v>4</v>
      </c>
      <c r="M215">
        <v>8</v>
      </c>
    </row>
    <row r="216" spans="1:13" x14ac:dyDescent="0.3">
      <c r="A216">
        <v>215</v>
      </c>
      <c r="B216">
        <v>20</v>
      </c>
      <c r="C216" t="s">
        <v>13</v>
      </c>
      <c r="D216" t="s">
        <v>14</v>
      </c>
      <c r="E216" t="s">
        <v>15</v>
      </c>
      <c r="F216" t="s">
        <v>199</v>
      </c>
      <c r="G216" t="s">
        <v>17</v>
      </c>
      <c r="H216" t="s">
        <v>18</v>
      </c>
      <c r="I216" t="s">
        <v>47</v>
      </c>
      <c r="J216">
        <v>5</v>
      </c>
      <c r="K216" t="s">
        <v>28</v>
      </c>
      <c r="L216">
        <v>3</v>
      </c>
      <c r="M216">
        <v>7</v>
      </c>
    </row>
    <row r="217" spans="1:13" x14ac:dyDescent="0.3">
      <c r="A217">
        <v>216</v>
      </c>
      <c r="B217">
        <v>22</v>
      </c>
      <c r="C217" t="s">
        <v>21</v>
      </c>
      <c r="D217" t="s">
        <v>22</v>
      </c>
      <c r="E217" t="s">
        <v>23</v>
      </c>
      <c r="F217" t="s">
        <v>97</v>
      </c>
      <c r="G217" t="s">
        <v>41</v>
      </c>
      <c r="H217" t="s">
        <v>26</v>
      </c>
      <c r="I217" t="s">
        <v>209</v>
      </c>
      <c r="J217">
        <v>7</v>
      </c>
      <c r="K217" t="s">
        <v>20</v>
      </c>
      <c r="L217">
        <v>2</v>
      </c>
      <c r="M217">
        <v>6</v>
      </c>
    </row>
    <row r="218" spans="1:13" x14ac:dyDescent="0.3">
      <c r="A218">
        <v>217</v>
      </c>
      <c r="B218">
        <v>19</v>
      </c>
      <c r="C218" t="s">
        <v>13</v>
      </c>
      <c r="D218" t="s">
        <v>14</v>
      </c>
      <c r="E218" t="s">
        <v>192</v>
      </c>
      <c r="F218" t="s">
        <v>134</v>
      </c>
      <c r="G218" t="s">
        <v>31</v>
      </c>
      <c r="H218" t="s">
        <v>18</v>
      </c>
      <c r="I218" t="s">
        <v>67</v>
      </c>
      <c r="J218">
        <v>6</v>
      </c>
      <c r="K218" t="s">
        <v>28</v>
      </c>
      <c r="L218">
        <v>4</v>
      </c>
      <c r="M218">
        <v>8</v>
      </c>
    </row>
    <row r="219" spans="1:13" x14ac:dyDescent="0.3">
      <c r="A219">
        <v>218</v>
      </c>
      <c r="B219">
        <v>21</v>
      </c>
      <c r="C219" t="s">
        <v>21</v>
      </c>
      <c r="D219" t="s">
        <v>22</v>
      </c>
      <c r="E219" t="s">
        <v>191</v>
      </c>
      <c r="F219" t="s">
        <v>94</v>
      </c>
      <c r="G219" t="s">
        <v>17</v>
      </c>
      <c r="H219" t="s">
        <v>18</v>
      </c>
      <c r="I219" t="s">
        <v>201</v>
      </c>
      <c r="J219">
        <v>5</v>
      </c>
      <c r="K219" t="s">
        <v>20</v>
      </c>
      <c r="L219">
        <v>3</v>
      </c>
      <c r="M219">
        <v>7</v>
      </c>
    </row>
    <row r="220" spans="1:13" x14ac:dyDescent="0.3">
      <c r="A220">
        <v>219</v>
      </c>
      <c r="B220">
        <v>20</v>
      </c>
      <c r="C220" t="s">
        <v>13</v>
      </c>
      <c r="D220" t="s">
        <v>14</v>
      </c>
      <c r="E220" t="s">
        <v>194</v>
      </c>
      <c r="F220" t="s">
        <v>67</v>
      </c>
      <c r="G220" t="s">
        <v>41</v>
      </c>
      <c r="H220" t="s">
        <v>26</v>
      </c>
      <c r="I220" t="s">
        <v>210</v>
      </c>
      <c r="J220">
        <v>7</v>
      </c>
      <c r="K220" t="s">
        <v>28</v>
      </c>
      <c r="L220">
        <v>2</v>
      </c>
      <c r="M220">
        <v>5</v>
      </c>
    </row>
    <row r="221" spans="1:13" x14ac:dyDescent="0.3">
      <c r="A221">
        <v>220</v>
      </c>
      <c r="B221">
        <v>22</v>
      </c>
      <c r="C221" t="s">
        <v>21</v>
      </c>
      <c r="D221" t="s">
        <v>22</v>
      </c>
      <c r="E221" t="s">
        <v>195</v>
      </c>
      <c r="F221" t="s">
        <v>40</v>
      </c>
      <c r="G221" t="s">
        <v>31</v>
      </c>
      <c r="H221" t="s">
        <v>18</v>
      </c>
      <c r="I221" t="s">
        <v>199</v>
      </c>
      <c r="J221">
        <v>6</v>
      </c>
      <c r="K221" t="s">
        <v>20</v>
      </c>
      <c r="L221">
        <v>4</v>
      </c>
      <c r="M221">
        <v>8</v>
      </c>
    </row>
    <row r="222" spans="1:13" x14ac:dyDescent="0.3">
      <c r="A222">
        <v>221</v>
      </c>
      <c r="B222">
        <v>19</v>
      </c>
      <c r="C222" t="s">
        <v>13</v>
      </c>
      <c r="D222" t="s">
        <v>14</v>
      </c>
      <c r="E222" t="s">
        <v>29</v>
      </c>
      <c r="F222" t="s">
        <v>19</v>
      </c>
      <c r="G222" t="s">
        <v>17</v>
      </c>
      <c r="H222" t="s">
        <v>18</v>
      </c>
      <c r="I222" t="s">
        <v>30</v>
      </c>
      <c r="J222">
        <v>5</v>
      </c>
      <c r="K222" t="s">
        <v>28</v>
      </c>
      <c r="L222">
        <v>4</v>
      </c>
      <c r="M222">
        <v>9</v>
      </c>
    </row>
    <row r="223" spans="1:13" x14ac:dyDescent="0.3">
      <c r="A223">
        <v>222</v>
      </c>
      <c r="B223">
        <v>21</v>
      </c>
      <c r="C223" t="s">
        <v>21</v>
      </c>
      <c r="D223" t="s">
        <v>22</v>
      </c>
      <c r="E223" t="s">
        <v>35</v>
      </c>
      <c r="F223" t="s">
        <v>49</v>
      </c>
      <c r="G223" t="s">
        <v>31</v>
      </c>
      <c r="H223" t="s">
        <v>18</v>
      </c>
      <c r="I223" t="s">
        <v>19</v>
      </c>
      <c r="J223">
        <v>6</v>
      </c>
      <c r="K223" t="s">
        <v>20</v>
      </c>
      <c r="L223">
        <v>3</v>
      </c>
      <c r="M223">
        <v>7</v>
      </c>
    </row>
    <row r="224" spans="1:13" x14ac:dyDescent="0.3">
      <c r="A224">
        <v>223</v>
      </c>
      <c r="B224">
        <v>20</v>
      </c>
      <c r="C224" t="s">
        <v>13</v>
      </c>
      <c r="D224" t="s">
        <v>14</v>
      </c>
      <c r="E224" t="s">
        <v>42</v>
      </c>
      <c r="F224" t="s">
        <v>40</v>
      </c>
      <c r="G224" t="s">
        <v>17</v>
      </c>
      <c r="H224" t="s">
        <v>26</v>
      </c>
      <c r="I224" t="s">
        <v>27</v>
      </c>
      <c r="J224">
        <v>8</v>
      </c>
      <c r="K224" t="s">
        <v>28</v>
      </c>
      <c r="L224">
        <v>2</v>
      </c>
      <c r="M224">
        <v>5</v>
      </c>
    </row>
    <row r="225" spans="1:13" x14ac:dyDescent="0.3">
      <c r="A225">
        <v>224</v>
      </c>
      <c r="B225">
        <v>22</v>
      </c>
      <c r="C225" t="s">
        <v>21</v>
      </c>
      <c r="D225" t="s">
        <v>22</v>
      </c>
      <c r="E225" t="s">
        <v>44</v>
      </c>
      <c r="F225" t="s">
        <v>67</v>
      </c>
      <c r="G225" t="s">
        <v>41</v>
      </c>
      <c r="H225" t="s">
        <v>26</v>
      </c>
      <c r="I225" t="s">
        <v>70</v>
      </c>
      <c r="J225">
        <v>7</v>
      </c>
      <c r="K225" t="s">
        <v>20</v>
      </c>
      <c r="L225">
        <v>2</v>
      </c>
      <c r="M225">
        <v>4</v>
      </c>
    </row>
    <row r="226" spans="1:13" x14ac:dyDescent="0.3">
      <c r="A226">
        <v>225</v>
      </c>
      <c r="B226">
        <v>19</v>
      </c>
      <c r="C226" t="s">
        <v>13</v>
      </c>
      <c r="D226" t="s">
        <v>14</v>
      </c>
      <c r="E226" t="s">
        <v>51</v>
      </c>
      <c r="F226" t="s">
        <v>94</v>
      </c>
      <c r="G226" t="s">
        <v>211</v>
      </c>
      <c r="H226" t="s">
        <v>26</v>
      </c>
      <c r="I226" t="s">
        <v>200</v>
      </c>
      <c r="J226">
        <v>8</v>
      </c>
      <c r="K226" t="s">
        <v>28</v>
      </c>
      <c r="L226">
        <v>1</v>
      </c>
      <c r="M226">
        <v>3</v>
      </c>
    </row>
    <row r="227" spans="1:13" x14ac:dyDescent="0.3">
      <c r="A227">
        <v>226</v>
      </c>
      <c r="B227">
        <v>21</v>
      </c>
      <c r="C227" t="s">
        <v>21</v>
      </c>
      <c r="D227" t="s">
        <v>22</v>
      </c>
      <c r="E227" t="s">
        <v>60</v>
      </c>
      <c r="F227" t="s">
        <v>59</v>
      </c>
      <c r="G227" t="s">
        <v>17</v>
      </c>
      <c r="H227" t="s">
        <v>18</v>
      </c>
      <c r="I227" t="s">
        <v>65</v>
      </c>
      <c r="J227">
        <v>6</v>
      </c>
      <c r="K227" t="s">
        <v>28</v>
      </c>
      <c r="L227">
        <v>3</v>
      </c>
      <c r="M227">
        <v>7</v>
      </c>
    </row>
    <row r="228" spans="1:13" x14ac:dyDescent="0.3">
      <c r="A228">
        <v>227</v>
      </c>
      <c r="B228">
        <v>20</v>
      </c>
      <c r="C228" t="s">
        <v>13</v>
      </c>
      <c r="D228" t="s">
        <v>14</v>
      </c>
      <c r="E228" t="s">
        <v>53</v>
      </c>
      <c r="F228" t="s">
        <v>16</v>
      </c>
      <c r="G228" t="s">
        <v>212</v>
      </c>
      <c r="H228" t="s">
        <v>18</v>
      </c>
      <c r="I228" t="s">
        <v>19</v>
      </c>
      <c r="J228">
        <v>6</v>
      </c>
      <c r="K228" t="s">
        <v>20</v>
      </c>
      <c r="L228">
        <v>3</v>
      </c>
      <c r="M228">
        <v>6</v>
      </c>
    </row>
    <row r="229" spans="1:13" x14ac:dyDescent="0.3">
      <c r="A229">
        <v>228</v>
      </c>
      <c r="B229">
        <v>22</v>
      </c>
      <c r="C229" t="s">
        <v>21</v>
      </c>
      <c r="D229" t="s">
        <v>22</v>
      </c>
      <c r="E229" t="s">
        <v>63</v>
      </c>
      <c r="F229" t="s">
        <v>56</v>
      </c>
      <c r="G229" t="s">
        <v>213</v>
      </c>
      <c r="H229" t="s">
        <v>26</v>
      </c>
      <c r="I229" t="s">
        <v>43</v>
      </c>
      <c r="J229">
        <v>7</v>
      </c>
      <c r="K229" t="s">
        <v>28</v>
      </c>
      <c r="L229">
        <v>2</v>
      </c>
      <c r="M229">
        <v>5</v>
      </c>
    </row>
    <row r="230" spans="1:13" x14ac:dyDescent="0.3">
      <c r="A230">
        <v>229</v>
      </c>
      <c r="B230">
        <v>19</v>
      </c>
      <c r="C230" t="s">
        <v>13</v>
      </c>
      <c r="D230" t="s">
        <v>14</v>
      </c>
      <c r="E230" t="s">
        <v>29</v>
      </c>
      <c r="F230" t="s">
        <v>38</v>
      </c>
      <c r="G230" t="s">
        <v>31</v>
      </c>
      <c r="H230" t="s">
        <v>18</v>
      </c>
      <c r="I230" t="s">
        <v>49</v>
      </c>
      <c r="J230">
        <v>4</v>
      </c>
      <c r="K230" t="s">
        <v>20</v>
      </c>
      <c r="L230">
        <v>4</v>
      </c>
      <c r="M230">
        <v>9</v>
      </c>
    </row>
    <row r="231" spans="1:13" x14ac:dyDescent="0.3">
      <c r="A231">
        <v>230</v>
      </c>
      <c r="B231">
        <v>21</v>
      </c>
      <c r="C231" t="s">
        <v>21</v>
      </c>
      <c r="D231" t="s">
        <v>22</v>
      </c>
      <c r="E231" t="s">
        <v>35</v>
      </c>
      <c r="F231" t="s">
        <v>59</v>
      </c>
      <c r="G231" t="s">
        <v>17</v>
      </c>
      <c r="H231" t="s">
        <v>18</v>
      </c>
      <c r="I231" t="s">
        <v>75</v>
      </c>
      <c r="J231">
        <v>6</v>
      </c>
      <c r="K231" t="s">
        <v>28</v>
      </c>
      <c r="L231">
        <v>3</v>
      </c>
      <c r="M231">
        <v>7</v>
      </c>
    </row>
    <row r="232" spans="1:13" x14ac:dyDescent="0.3">
      <c r="A232">
        <v>231</v>
      </c>
      <c r="B232">
        <v>20</v>
      </c>
      <c r="C232" t="s">
        <v>13</v>
      </c>
      <c r="D232" t="s">
        <v>14</v>
      </c>
      <c r="E232" t="s">
        <v>42</v>
      </c>
      <c r="F232" t="s">
        <v>77</v>
      </c>
      <c r="G232" t="s">
        <v>41</v>
      </c>
      <c r="H232" t="s">
        <v>26</v>
      </c>
      <c r="I232" t="s">
        <v>100</v>
      </c>
      <c r="J232">
        <v>7</v>
      </c>
      <c r="K232" t="s">
        <v>20</v>
      </c>
      <c r="L232">
        <v>2</v>
      </c>
      <c r="M232">
        <v>5</v>
      </c>
    </row>
    <row r="233" spans="1:13" x14ac:dyDescent="0.3">
      <c r="A233">
        <v>232</v>
      </c>
      <c r="B233">
        <v>22</v>
      </c>
      <c r="C233" t="s">
        <v>21</v>
      </c>
      <c r="D233" t="s">
        <v>22</v>
      </c>
      <c r="E233" t="s">
        <v>44</v>
      </c>
      <c r="F233" t="s">
        <v>52</v>
      </c>
      <c r="G233" t="s">
        <v>17</v>
      </c>
      <c r="H233" t="s">
        <v>26</v>
      </c>
      <c r="I233" t="s">
        <v>200</v>
      </c>
      <c r="J233">
        <v>8</v>
      </c>
      <c r="K233" t="s">
        <v>28</v>
      </c>
      <c r="L233">
        <v>1</v>
      </c>
      <c r="M233">
        <v>4</v>
      </c>
    </row>
    <row r="234" spans="1:13" x14ac:dyDescent="0.3">
      <c r="A234">
        <v>233</v>
      </c>
      <c r="B234">
        <v>19</v>
      </c>
      <c r="C234" t="s">
        <v>13</v>
      </c>
      <c r="D234" t="s">
        <v>14</v>
      </c>
      <c r="E234" t="s">
        <v>51</v>
      </c>
      <c r="F234" t="s">
        <v>74</v>
      </c>
      <c r="G234" t="s">
        <v>211</v>
      </c>
      <c r="H234" t="s">
        <v>26</v>
      </c>
      <c r="I234" t="s">
        <v>47</v>
      </c>
      <c r="J234">
        <v>8</v>
      </c>
      <c r="K234" t="s">
        <v>28</v>
      </c>
      <c r="L234">
        <v>1</v>
      </c>
      <c r="M234">
        <v>3</v>
      </c>
    </row>
    <row r="235" spans="1:13" x14ac:dyDescent="0.3">
      <c r="A235">
        <v>234</v>
      </c>
      <c r="B235">
        <v>21</v>
      </c>
      <c r="C235" t="s">
        <v>21</v>
      </c>
      <c r="D235" t="s">
        <v>22</v>
      </c>
      <c r="E235" t="s">
        <v>60</v>
      </c>
      <c r="F235" t="s">
        <v>72</v>
      </c>
      <c r="G235" t="s">
        <v>31</v>
      </c>
      <c r="H235" t="s">
        <v>18</v>
      </c>
      <c r="I235" t="s">
        <v>19</v>
      </c>
      <c r="J235">
        <v>5</v>
      </c>
      <c r="K235" t="s">
        <v>20</v>
      </c>
      <c r="L235">
        <v>3</v>
      </c>
      <c r="M235">
        <v>8</v>
      </c>
    </row>
    <row r="236" spans="1:13" x14ac:dyDescent="0.3">
      <c r="A236">
        <v>235</v>
      </c>
      <c r="B236">
        <v>20</v>
      </c>
      <c r="C236" t="s">
        <v>13</v>
      </c>
      <c r="D236" t="s">
        <v>14</v>
      </c>
      <c r="E236" t="s">
        <v>53</v>
      </c>
      <c r="F236" t="s">
        <v>32</v>
      </c>
      <c r="G236" t="s">
        <v>212</v>
      </c>
      <c r="H236" t="s">
        <v>18</v>
      </c>
      <c r="I236" t="s">
        <v>65</v>
      </c>
      <c r="J236">
        <v>6</v>
      </c>
      <c r="K236" t="s">
        <v>28</v>
      </c>
      <c r="L236">
        <v>3</v>
      </c>
      <c r="M236">
        <v>6</v>
      </c>
    </row>
    <row r="237" spans="1:13" x14ac:dyDescent="0.3">
      <c r="A237">
        <v>236</v>
      </c>
      <c r="B237">
        <v>22</v>
      </c>
      <c r="C237" t="s">
        <v>21</v>
      </c>
      <c r="D237" t="s">
        <v>22</v>
      </c>
      <c r="E237" t="s">
        <v>63</v>
      </c>
      <c r="F237" t="s">
        <v>40</v>
      </c>
      <c r="G237" t="s">
        <v>213</v>
      </c>
      <c r="H237" t="s">
        <v>26</v>
      </c>
      <c r="I237" t="s">
        <v>100</v>
      </c>
      <c r="J237">
        <v>7</v>
      </c>
      <c r="K237" t="s">
        <v>20</v>
      </c>
      <c r="L237">
        <v>2</v>
      </c>
      <c r="M237">
        <v>5</v>
      </c>
    </row>
    <row r="238" spans="1:13" x14ac:dyDescent="0.3">
      <c r="A238">
        <v>237</v>
      </c>
      <c r="B238">
        <v>19</v>
      </c>
      <c r="C238" t="s">
        <v>13</v>
      </c>
      <c r="D238" t="s">
        <v>14</v>
      </c>
      <c r="E238" t="s">
        <v>29</v>
      </c>
      <c r="F238" t="s">
        <v>65</v>
      </c>
      <c r="G238" t="s">
        <v>17</v>
      </c>
      <c r="H238" t="s">
        <v>18</v>
      </c>
      <c r="I238" t="s">
        <v>78</v>
      </c>
      <c r="J238">
        <v>4</v>
      </c>
      <c r="K238" t="s">
        <v>28</v>
      </c>
      <c r="L238">
        <v>4</v>
      </c>
      <c r="M238">
        <v>9</v>
      </c>
    </row>
    <row r="239" spans="1:13" x14ac:dyDescent="0.3">
      <c r="A239">
        <v>238</v>
      </c>
      <c r="B239">
        <v>21</v>
      </c>
      <c r="C239" t="s">
        <v>21</v>
      </c>
      <c r="D239" t="s">
        <v>22</v>
      </c>
      <c r="E239" t="s">
        <v>35</v>
      </c>
      <c r="F239" t="s">
        <v>110</v>
      </c>
      <c r="G239" t="s">
        <v>41</v>
      </c>
      <c r="H239" t="s">
        <v>18</v>
      </c>
      <c r="I239" t="s">
        <v>95</v>
      </c>
      <c r="J239">
        <v>6</v>
      </c>
      <c r="K239" t="s">
        <v>20</v>
      </c>
      <c r="L239">
        <v>3</v>
      </c>
      <c r="M239">
        <v>7</v>
      </c>
    </row>
    <row r="240" spans="1:13" x14ac:dyDescent="0.3">
      <c r="A240">
        <v>239</v>
      </c>
      <c r="B240">
        <v>20</v>
      </c>
      <c r="C240" t="s">
        <v>13</v>
      </c>
      <c r="D240" t="s">
        <v>14</v>
      </c>
      <c r="E240" t="s">
        <v>42</v>
      </c>
      <c r="F240" t="s">
        <v>123</v>
      </c>
      <c r="G240" t="s">
        <v>17</v>
      </c>
      <c r="H240" t="s">
        <v>26</v>
      </c>
      <c r="I240" t="s">
        <v>83</v>
      </c>
      <c r="J240">
        <v>7</v>
      </c>
      <c r="K240" t="s">
        <v>28</v>
      </c>
      <c r="L240">
        <v>2</v>
      </c>
      <c r="M240">
        <v>5</v>
      </c>
    </row>
    <row r="241" spans="1:13" x14ac:dyDescent="0.3">
      <c r="A241">
        <v>240</v>
      </c>
      <c r="B241">
        <v>22</v>
      </c>
      <c r="C241" t="s">
        <v>21</v>
      </c>
      <c r="D241" t="s">
        <v>22</v>
      </c>
      <c r="E241" t="s">
        <v>44</v>
      </c>
      <c r="F241" t="s">
        <v>199</v>
      </c>
      <c r="G241" t="s">
        <v>41</v>
      </c>
      <c r="H241" t="s">
        <v>26</v>
      </c>
      <c r="I241" t="s">
        <v>198</v>
      </c>
      <c r="J241">
        <v>8</v>
      </c>
      <c r="K241" t="s">
        <v>20</v>
      </c>
      <c r="L241">
        <v>2</v>
      </c>
      <c r="M241">
        <v>4</v>
      </c>
    </row>
    <row r="242" spans="1:13" x14ac:dyDescent="0.3">
      <c r="A242">
        <v>241</v>
      </c>
      <c r="B242">
        <v>19</v>
      </c>
      <c r="C242" t="s">
        <v>13</v>
      </c>
      <c r="D242" t="s">
        <v>14</v>
      </c>
      <c r="E242" t="s">
        <v>51</v>
      </c>
      <c r="F242" t="s">
        <v>64</v>
      </c>
      <c r="G242" t="s">
        <v>211</v>
      </c>
      <c r="H242" t="s">
        <v>26</v>
      </c>
      <c r="I242" t="s">
        <v>70</v>
      </c>
      <c r="J242">
        <v>8</v>
      </c>
      <c r="K242" t="s">
        <v>28</v>
      </c>
      <c r="L242">
        <v>1</v>
      </c>
      <c r="M242">
        <v>3</v>
      </c>
    </row>
    <row r="243" spans="1:13" x14ac:dyDescent="0.3">
      <c r="A243">
        <v>242</v>
      </c>
      <c r="B243">
        <v>21</v>
      </c>
      <c r="C243" t="s">
        <v>21</v>
      </c>
      <c r="D243" t="s">
        <v>22</v>
      </c>
      <c r="E243" t="s">
        <v>60</v>
      </c>
      <c r="F243" t="s">
        <v>87</v>
      </c>
      <c r="G243" t="s">
        <v>17</v>
      </c>
      <c r="H243" t="s">
        <v>18</v>
      </c>
      <c r="I243" t="s">
        <v>75</v>
      </c>
      <c r="J243">
        <v>5</v>
      </c>
      <c r="K243" t="s">
        <v>28</v>
      </c>
      <c r="L243">
        <v>3</v>
      </c>
      <c r="M243">
        <v>7</v>
      </c>
    </row>
    <row r="244" spans="1:13" x14ac:dyDescent="0.3">
      <c r="A244">
        <v>243</v>
      </c>
      <c r="B244">
        <v>20</v>
      </c>
      <c r="C244" t="s">
        <v>13</v>
      </c>
      <c r="D244" t="s">
        <v>14</v>
      </c>
      <c r="E244" t="s">
        <v>53</v>
      </c>
      <c r="F244" t="s">
        <v>114</v>
      </c>
      <c r="G244" t="s">
        <v>212</v>
      </c>
      <c r="H244" t="s">
        <v>18</v>
      </c>
      <c r="I244" t="s">
        <v>95</v>
      </c>
      <c r="J244">
        <v>6</v>
      </c>
      <c r="K244" t="s">
        <v>20</v>
      </c>
      <c r="L244">
        <v>3</v>
      </c>
      <c r="M244">
        <v>6</v>
      </c>
    </row>
    <row r="245" spans="1:13" x14ac:dyDescent="0.3">
      <c r="A245">
        <v>244</v>
      </c>
      <c r="B245">
        <v>22</v>
      </c>
      <c r="C245" t="s">
        <v>21</v>
      </c>
      <c r="D245" t="s">
        <v>22</v>
      </c>
      <c r="E245" t="s">
        <v>63</v>
      </c>
      <c r="F245" t="s">
        <v>77</v>
      </c>
      <c r="G245" t="s">
        <v>213</v>
      </c>
      <c r="H245" t="s">
        <v>26</v>
      </c>
      <c r="I245" t="s">
        <v>83</v>
      </c>
      <c r="J245">
        <v>7</v>
      </c>
      <c r="K245" t="s">
        <v>28</v>
      </c>
      <c r="L245">
        <v>2</v>
      </c>
      <c r="M245">
        <v>5</v>
      </c>
    </row>
    <row r="246" spans="1:13" x14ac:dyDescent="0.3">
      <c r="A246">
        <v>245</v>
      </c>
      <c r="B246">
        <v>19</v>
      </c>
      <c r="C246" t="s">
        <v>13</v>
      </c>
      <c r="D246" t="s">
        <v>14</v>
      </c>
      <c r="E246" t="s">
        <v>29</v>
      </c>
      <c r="F246" t="s">
        <v>90</v>
      </c>
      <c r="G246" t="s">
        <v>31</v>
      </c>
      <c r="H246" t="s">
        <v>18</v>
      </c>
      <c r="I246" t="s">
        <v>72</v>
      </c>
      <c r="J246">
        <v>4</v>
      </c>
      <c r="K246" t="s">
        <v>20</v>
      </c>
      <c r="L246">
        <v>4</v>
      </c>
      <c r="M246">
        <v>9</v>
      </c>
    </row>
    <row r="247" spans="1:13" x14ac:dyDescent="0.3">
      <c r="A247">
        <v>246</v>
      </c>
      <c r="B247">
        <v>21</v>
      </c>
      <c r="C247" t="s">
        <v>21</v>
      </c>
      <c r="D247" t="s">
        <v>22</v>
      </c>
      <c r="E247" t="s">
        <v>35</v>
      </c>
      <c r="F247" t="s">
        <v>72</v>
      </c>
      <c r="G247" t="s">
        <v>17</v>
      </c>
      <c r="H247" t="s">
        <v>18</v>
      </c>
      <c r="I247" t="s">
        <v>134</v>
      </c>
      <c r="J247">
        <v>6</v>
      </c>
      <c r="K247" t="s">
        <v>28</v>
      </c>
      <c r="L247">
        <v>3</v>
      </c>
      <c r="M247">
        <v>7</v>
      </c>
    </row>
    <row r="248" spans="1:13" x14ac:dyDescent="0.3">
      <c r="A248">
        <v>247</v>
      </c>
      <c r="B248">
        <v>20</v>
      </c>
      <c r="C248" t="s">
        <v>13</v>
      </c>
      <c r="D248" t="s">
        <v>14</v>
      </c>
      <c r="E248" t="s">
        <v>42</v>
      </c>
      <c r="F248" t="s">
        <v>56</v>
      </c>
      <c r="G248" t="s">
        <v>41</v>
      </c>
      <c r="H248" t="s">
        <v>26</v>
      </c>
      <c r="I248" t="s">
        <v>43</v>
      </c>
      <c r="J248">
        <v>7</v>
      </c>
      <c r="K248" t="s">
        <v>20</v>
      </c>
      <c r="L248">
        <v>2</v>
      </c>
      <c r="M248">
        <v>5</v>
      </c>
    </row>
    <row r="249" spans="1:13" x14ac:dyDescent="0.3">
      <c r="A249">
        <v>248</v>
      </c>
      <c r="B249">
        <v>22</v>
      </c>
      <c r="C249" t="s">
        <v>21</v>
      </c>
      <c r="D249" t="s">
        <v>22</v>
      </c>
      <c r="E249" t="s">
        <v>44</v>
      </c>
      <c r="F249" t="s">
        <v>116</v>
      </c>
      <c r="G249" t="s">
        <v>17</v>
      </c>
      <c r="H249" t="s">
        <v>26</v>
      </c>
      <c r="I249" t="s">
        <v>70</v>
      </c>
      <c r="J249">
        <v>8</v>
      </c>
      <c r="K249" t="s">
        <v>28</v>
      </c>
      <c r="L249">
        <v>1</v>
      </c>
      <c r="M249">
        <v>4</v>
      </c>
    </row>
    <row r="250" spans="1:13" x14ac:dyDescent="0.3">
      <c r="A250">
        <v>249</v>
      </c>
      <c r="B250">
        <v>19</v>
      </c>
      <c r="C250" t="s">
        <v>13</v>
      </c>
      <c r="D250" t="s">
        <v>14</v>
      </c>
      <c r="E250" t="s">
        <v>51</v>
      </c>
      <c r="F250" t="s">
        <v>103</v>
      </c>
      <c r="G250" t="s">
        <v>211</v>
      </c>
      <c r="H250" t="s">
        <v>26</v>
      </c>
      <c r="I250" t="s">
        <v>201</v>
      </c>
      <c r="J250">
        <v>8</v>
      </c>
      <c r="K250" t="s">
        <v>28</v>
      </c>
      <c r="L250">
        <v>1</v>
      </c>
      <c r="M250">
        <v>3</v>
      </c>
    </row>
    <row r="251" spans="1:13" x14ac:dyDescent="0.3">
      <c r="A251">
        <v>250</v>
      </c>
      <c r="B251">
        <v>21</v>
      </c>
      <c r="C251" t="s">
        <v>21</v>
      </c>
      <c r="D251" t="s">
        <v>22</v>
      </c>
      <c r="E251" t="s">
        <v>60</v>
      </c>
      <c r="F251" t="s">
        <v>110</v>
      </c>
      <c r="G251" t="s">
        <v>31</v>
      </c>
      <c r="H251" t="s">
        <v>18</v>
      </c>
      <c r="I251" t="s">
        <v>95</v>
      </c>
      <c r="J251">
        <v>5</v>
      </c>
      <c r="K251" t="s">
        <v>20</v>
      </c>
      <c r="L251">
        <v>3</v>
      </c>
      <c r="M251">
        <v>8</v>
      </c>
    </row>
    <row r="252" spans="1:13" x14ac:dyDescent="0.3">
      <c r="A252">
        <v>251</v>
      </c>
      <c r="B252">
        <v>20</v>
      </c>
      <c r="C252" t="s">
        <v>13</v>
      </c>
      <c r="D252" t="s">
        <v>14</v>
      </c>
      <c r="E252" t="s">
        <v>53</v>
      </c>
      <c r="F252" t="s">
        <v>85</v>
      </c>
      <c r="G252" t="s">
        <v>212</v>
      </c>
      <c r="H252" t="s">
        <v>18</v>
      </c>
      <c r="I252" t="s">
        <v>90</v>
      </c>
      <c r="J252">
        <v>6</v>
      </c>
      <c r="K252" t="s">
        <v>28</v>
      </c>
      <c r="L252">
        <v>3</v>
      </c>
      <c r="M252">
        <v>6</v>
      </c>
    </row>
    <row r="253" spans="1:13" x14ac:dyDescent="0.3">
      <c r="A253">
        <v>252</v>
      </c>
      <c r="B253">
        <v>22</v>
      </c>
      <c r="C253" t="s">
        <v>21</v>
      </c>
      <c r="D253" t="s">
        <v>22</v>
      </c>
      <c r="E253" t="s">
        <v>63</v>
      </c>
      <c r="F253" t="s">
        <v>123</v>
      </c>
      <c r="G253" t="s">
        <v>213</v>
      </c>
      <c r="H253" t="s">
        <v>26</v>
      </c>
      <c r="I253" t="s">
        <v>27</v>
      </c>
      <c r="J253">
        <v>7</v>
      </c>
      <c r="K253" t="s">
        <v>20</v>
      </c>
      <c r="L253">
        <v>2</v>
      </c>
      <c r="M253">
        <v>5</v>
      </c>
    </row>
    <row r="254" spans="1:13" x14ac:dyDescent="0.3">
      <c r="A254">
        <v>253</v>
      </c>
      <c r="B254">
        <v>19</v>
      </c>
      <c r="C254" t="s">
        <v>13</v>
      </c>
      <c r="D254" t="s">
        <v>14</v>
      </c>
      <c r="E254" t="s">
        <v>29</v>
      </c>
      <c r="F254" t="s">
        <v>75</v>
      </c>
      <c r="G254" t="s">
        <v>17</v>
      </c>
      <c r="H254" t="s">
        <v>18</v>
      </c>
      <c r="I254" t="s">
        <v>49</v>
      </c>
      <c r="J254">
        <v>4</v>
      </c>
      <c r="K254" t="s">
        <v>28</v>
      </c>
      <c r="L254">
        <v>4</v>
      </c>
      <c r="M254">
        <v>9</v>
      </c>
    </row>
    <row r="255" spans="1:13" x14ac:dyDescent="0.3">
      <c r="A255">
        <v>254</v>
      </c>
      <c r="B255">
        <v>21</v>
      </c>
      <c r="C255" t="s">
        <v>21</v>
      </c>
      <c r="D255" t="s">
        <v>22</v>
      </c>
      <c r="E255" t="s">
        <v>35</v>
      </c>
      <c r="F255" t="s">
        <v>87</v>
      </c>
      <c r="G255" t="s">
        <v>41</v>
      </c>
      <c r="H255" t="s">
        <v>18</v>
      </c>
      <c r="I255" t="s">
        <v>19</v>
      </c>
      <c r="J255">
        <v>6</v>
      </c>
      <c r="K255" t="s">
        <v>20</v>
      </c>
      <c r="L255">
        <v>3</v>
      </c>
      <c r="M255">
        <v>7</v>
      </c>
    </row>
    <row r="256" spans="1:13" x14ac:dyDescent="0.3">
      <c r="A256">
        <v>255</v>
      </c>
      <c r="B256">
        <v>20</v>
      </c>
      <c r="C256" t="s">
        <v>13</v>
      </c>
      <c r="D256" t="s">
        <v>14</v>
      </c>
      <c r="E256" t="s">
        <v>42</v>
      </c>
      <c r="F256" t="s">
        <v>97</v>
      </c>
      <c r="G256" t="s">
        <v>17</v>
      </c>
      <c r="H256" t="s">
        <v>26</v>
      </c>
      <c r="I256" t="s">
        <v>100</v>
      </c>
      <c r="J256">
        <v>7</v>
      </c>
      <c r="K256" t="s">
        <v>28</v>
      </c>
      <c r="L256">
        <v>2</v>
      </c>
      <c r="M256">
        <v>5</v>
      </c>
    </row>
    <row r="257" spans="1:13" x14ac:dyDescent="0.3">
      <c r="A257">
        <v>256</v>
      </c>
      <c r="B257">
        <v>22</v>
      </c>
      <c r="C257" t="s">
        <v>21</v>
      </c>
      <c r="D257" t="s">
        <v>22</v>
      </c>
      <c r="E257" t="s">
        <v>44</v>
      </c>
      <c r="F257" t="s">
        <v>52</v>
      </c>
      <c r="G257" t="s">
        <v>41</v>
      </c>
      <c r="H257" t="s">
        <v>26</v>
      </c>
      <c r="I257" t="s">
        <v>196</v>
      </c>
      <c r="J257">
        <v>8</v>
      </c>
      <c r="K257" t="s">
        <v>20</v>
      </c>
      <c r="L257">
        <v>2</v>
      </c>
      <c r="M257">
        <v>4</v>
      </c>
    </row>
    <row r="258" spans="1:13" x14ac:dyDescent="0.3">
      <c r="A258">
        <v>257</v>
      </c>
      <c r="B258">
        <v>19</v>
      </c>
      <c r="C258" t="s">
        <v>13</v>
      </c>
      <c r="D258" t="s">
        <v>14</v>
      </c>
      <c r="E258" t="s">
        <v>51</v>
      </c>
      <c r="F258" t="s">
        <v>206</v>
      </c>
      <c r="G258" t="s">
        <v>211</v>
      </c>
      <c r="H258" t="s">
        <v>26</v>
      </c>
      <c r="I258" t="s">
        <v>202</v>
      </c>
      <c r="J258">
        <v>8</v>
      </c>
      <c r="K258" t="s">
        <v>28</v>
      </c>
      <c r="L258">
        <v>1</v>
      </c>
      <c r="M258">
        <v>3</v>
      </c>
    </row>
    <row r="259" spans="1:13" x14ac:dyDescent="0.3">
      <c r="A259">
        <v>258</v>
      </c>
      <c r="B259">
        <v>21</v>
      </c>
      <c r="C259" t="s">
        <v>21</v>
      </c>
      <c r="D259" t="s">
        <v>22</v>
      </c>
      <c r="E259" t="s">
        <v>60</v>
      </c>
      <c r="F259" t="s">
        <v>80</v>
      </c>
      <c r="G259" t="s">
        <v>17</v>
      </c>
      <c r="H259" t="s">
        <v>18</v>
      </c>
      <c r="I259" t="s">
        <v>65</v>
      </c>
      <c r="J259">
        <v>5</v>
      </c>
      <c r="K259" t="s">
        <v>28</v>
      </c>
      <c r="L259">
        <v>3</v>
      </c>
      <c r="M259">
        <v>7</v>
      </c>
    </row>
    <row r="260" spans="1:13" x14ac:dyDescent="0.3">
      <c r="A260">
        <v>259</v>
      </c>
      <c r="B260">
        <v>20</v>
      </c>
      <c r="C260" t="s">
        <v>13</v>
      </c>
      <c r="D260" t="s">
        <v>14</v>
      </c>
      <c r="E260" t="s">
        <v>53</v>
      </c>
      <c r="F260" t="s">
        <v>32</v>
      </c>
      <c r="G260" t="s">
        <v>212</v>
      </c>
      <c r="H260" t="s">
        <v>18</v>
      </c>
      <c r="I260" t="s">
        <v>75</v>
      </c>
      <c r="J260">
        <v>6</v>
      </c>
      <c r="K260" t="s">
        <v>20</v>
      </c>
      <c r="L260">
        <v>3</v>
      </c>
      <c r="M260">
        <v>6</v>
      </c>
    </row>
    <row r="261" spans="1:13" x14ac:dyDescent="0.3">
      <c r="A261">
        <v>260</v>
      </c>
      <c r="B261">
        <v>22</v>
      </c>
      <c r="C261" t="s">
        <v>21</v>
      </c>
      <c r="D261" t="s">
        <v>22</v>
      </c>
      <c r="E261" t="s">
        <v>63</v>
      </c>
      <c r="F261" t="s">
        <v>97</v>
      </c>
      <c r="G261" t="s">
        <v>213</v>
      </c>
      <c r="H261" t="s">
        <v>26</v>
      </c>
      <c r="I261" t="s">
        <v>196</v>
      </c>
      <c r="J261">
        <v>7</v>
      </c>
      <c r="K261" t="s">
        <v>28</v>
      </c>
      <c r="L261">
        <v>2</v>
      </c>
      <c r="M261">
        <v>5</v>
      </c>
    </row>
    <row r="262" spans="1:13" x14ac:dyDescent="0.3">
      <c r="A262">
        <v>261</v>
      </c>
      <c r="B262">
        <v>19</v>
      </c>
      <c r="C262" t="s">
        <v>13</v>
      </c>
      <c r="D262" t="s">
        <v>14</v>
      </c>
      <c r="E262" t="s">
        <v>29</v>
      </c>
      <c r="F262" t="s">
        <v>95</v>
      </c>
      <c r="G262" t="s">
        <v>31</v>
      </c>
      <c r="H262" t="s">
        <v>18</v>
      </c>
      <c r="I262" t="s">
        <v>110</v>
      </c>
      <c r="J262">
        <v>4</v>
      </c>
      <c r="K262" t="s">
        <v>20</v>
      </c>
      <c r="L262">
        <v>4</v>
      </c>
      <c r="M262">
        <v>9</v>
      </c>
    </row>
    <row r="263" spans="1:13" x14ac:dyDescent="0.3">
      <c r="A263">
        <v>262</v>
      </c>
      <c r="B263">
        <v>21</v>
      </c>
      <c r="C263" t="s">
        <v>21</v>
      </c>
      <c r="D263" t="s">
        <v>22</v>
      </c>
      <c r="E263" t="s">
        <v>35</v>
      </c>
      <c r="F263" t="s">
        <v>80</v>
      </c>
      <c r="G263" t="s">
        <v>17</v>
      </c>
      <c r="H263" t="s">
        <v>18</v>
      </c>
      <c r="I263" t="s">
        <v>132</v>
      </c>
      <c r="J263">
        <v>6</v>
      </c>
      <c r="K263" t="s">
        <v>28</v>
      </c>
      <c r="L263">
        <v>3</v>
      </c>
      <c r="M263">
        <v>7</v>
      </c>
    </row>
    <row r="264" spans="1:13" x14ac:dyDescent="0.3">
      <c r="A264">
        <v>263</v>
      </c>
      <c r="B264">
        <v>20</v>
      </c>
      <c r="C264" t="s">
        <v>13</v>
      </c>
      <c r="D264" t="s">
        <v>14</v>
      </c>
      <c r="E264" t="s">
        <v>42</v>
      </c>
      <c r="F264" t="s">
        <v>197</v>
      </c>
      <c r="G264" t="s">
        <v>41</v>
      </c>
      <c r="H264" t="s">
        <v>26</v>
      </c>
      <c r="I264" t="s">
        <v>27</v>
      </c>
      <c r="J264">
        <v>7</v>
      </c>
      <c r="K264" t="s">
        <v>20</v>
      </c>
      <c r="L264">
        <v>2</v>
      </c>
      <c r="M264">
        <v>5</v>
      </c>
    </row>
    <row r="265" spans="1:13" x14ac:dyDescent="0.3">
      <c r="A265">
        <v>264</v>
      </c>
      <c r="B265">
        <v>22</v>
      </c>
      <c r="C265" t="s">
        <v>21</v>
      </c>
      <c r="D265" t="s">
        <v>22</v>
      </c>
      <c r="E265" t="s">
        <v>44</v>
      </c>
      <c r="F265" t="s">
        <v>94</v>
      </c>
      <c r="G265" t="s">
        <v>17</v>
      </c>
      <c r="H265" t="s">
        <v>26</v>
      </c>
      <c r="I265" t="s">
        <v>198</v>
      </c>
      <c r="J265">
        <v>8</v>
      </c>
      <c r="K265" t="s">
        <v>28</v>
      </c>
      <c r="L265">
        <v>1</v>
      </c>
      <c r="M265">
        <v>4</v>
      </c>
    </row>
    <row r="266" spans="1:13" x14ac:dyDescent="0.3">
      <c r="A266">
        <v>265</v>
      </c>
      <c r="B266">
        <v>19</v>
      </c>
      <c r="C266" t="s">
        <v>13</v>
      </c>
      <c r="D266" t="s">
        <v>14</v>
      </c>
      <c r="E266" t="s">
        <v>51</v>
      </c>
      <c r="F266" t="s">
        <v>54</v>
      </c>
      <c r="G266" t="s">
        <v>211</v>
      </c>
      <c r="H266" t="s">
        <v>26</v>
      </c>
      <c r="I266" t="s">
        <v>203</v>
      </c>
      <c r="J266">
        <v>8</v>
      </c>
      <c r="K266" t="s">
        <v>28</v>
      </c>
      <c r="L266">
        <v>1</v>
      </c>
      <c r="M266">
        <v>3</v>
      </c>
    </row>
    <row r="267" spans="1:13" x14ac:dyDescent="0.3">
      <c r="A267">
        <v>266</v>
      </c>
      <c r="B267">
        <v>21</v>
      </c>
      <c r="C267" t="s">
        <v>21</v>
      </c>
      <c r="D267" t="s">
        <v>22</v>
      </c>
      <c r="E267" t="s">
        <v>60</v>
      </c>
      <c r="F267" t="s">
        <v>16</v>
      </c>
      <c r="G267" t="s">
        <v>31</v>
      </c>
      <c r="H267" t="s">
        <v>18</v>
      </c>
      <c r="I267" t="s">
        <v>90</v>
      </c>
      <c r="J267">
        <v>5</v>
      </c>
      <c r="K267" t="s">
        <v>20</v>
      </c>
      <c r="L267">
        <v>3</v>
      </c>
      <c r="M267">
        <v>8</v>
      </c>
    </row>
    <row r="268" spans="1:13" x14ac:dyDescent="0.3">
      <c r="A268">
        <v>267</v>
      </c>
      <c r="B268">
        <v>20</v>
      </c>
      <c r="C268" t="s">
        <v>13</v>
      </c>
      <c r="D268" t="s">
        <v>14</v>
      </c>
      <c r="E268" t="s">
        <v>53</v>
      </c>
      <c r="F268" t="s">
        <v>56</v>
      </c>
      <c r="G268" t="s">
        <v>212</v>
      </c>
      <c r="H268" t="s">
        <v>18</v>
      </c>
      <c r="I268" t="s">
        <v>38</v>
      </c>
      <c r="J268">
        <v>6</v>
      </c>
      <c r="K268" t="s">
        <v>28</v>
      </c>
      <c r="L268">
        <v>3</v>
      </c>
      <c r="M268">
        <v>6</v>
      </c>
    </row>
    <row r="269" spans="1:13" x14ac:dyDescent="0.3">
      <c r="A269">
        <v>268</v>
      </c>
      <c r="B269">
        <v>22</v>
      </c>
      <c r="C269" t="s">
        <v>21</v>
      </c>
      <c r="D269" t="s">
        <v>22</v>
      </c>
      <c r="E269" t="s">
        <v>63</v>
      </c>
      <c r="F269" t="s">
        <v>197</v>
      </c>
      <c r="G269" t="s">
        <v>213</v>
      </c>
      <c r="H269" t="s">
        <v>26</v>
      </c>
      <c r="I269" t="s">
        <v>198</v>
      </c>
      <c r="J269">
        <v>7</v>
      </c>
      <c r="K269" t="s">
        <v>20</v>
      </c>
      <c r="L269">
        <v>2</v>
      </c>
      <c r="M269">
        <v>5</v>
      </c>
    </row>
    <row r="270" spans="1:13" x14ac:dyDescent="0.3">
      <c r="A270">
        <v>269</v>
      </c>
      <c r="B270">
        <v>19</v>
      </c>
      <c r="C270" t="s">
        <v>13</v>
      </c>
      <c r="D270" t="s">
        <v>14</v>
      </c>
      <c r="E270" t="s">
        <v>29</v>
      </c>
      <c r="F270" t="s">
        <v>134</v>
      </c>
      <c r="G270" t="s">
        <v>17</v>
      </c>
      <c r="H270" t="s">
        <v>18</v>
      </c>
      <c r="I270" t="s">
        <v>72</v>
      </c>
      <c r="J270">
        <v>4</v>
      </c>
      <c r="K270" t="s">
        <v>28</v>
      </c>
      <c r="L270">
        <v>4</v>
      </c>
      <c r="M270">
        <v>9</v>
      </c>
    </row>
    <row r="271" spans="1:13" x14ac:dyDescent="0.3">
      <c r="A271">
        <v>270</v>
      </c>
      <c r="B271">
        <v>21</v>
      </c>
      <c r="C271" t="s">
        <v>21</v>
      </c>
      <c r="D271" t="s">
        <v>22</v>
      </c>
      <c r="E271" t="s">
        <v>35</v>
      </c>
      <c r="F271" t="s">
        <v>16</v>
      </c>
      <c r="G271" t="s">
        <v>41</v>
      </c>
      <c r="H271" t="s">
        <v>18</v>
      </c>
      <c r="I271" t="s">
        <v>134</v>
      </c>
      <c r="J271">
        <v>6</v>
      </c>
      <c r="K271" t="s">
        <v>20</v>
      </c>
      <c r="L271">
        <v>3</v>
      </c>
      <c r="M271">
        <v>7</v>
      </c>
    </row>
    <row r="272" spans="1:13" x14ac:dyDescent="0.3">
      <c r="A272">
        <v>271</v>
      </c>
      <c r="B272">
        <v>20</v>
      </c>
      <c r="C272" t="s">
        <v>13</v>
      </c>
      <c r="D272" t="s">
        <v>14</v>
      </c>
      <c r="E272" t="s">
        <v>42</v>
      </c>
      <c r="F272" t="s">
        <v>40</v>
      </c>
      <c r="G272" t="s">
        <v>17</v>
      </c>
      <c r="H272" t="s">
        <v>26</v>
      </c>
      <c r="I272" t="s">
        <v>83</v>
      </c>
      <c r="J272">
        <v>7</v>
      </c>
      <c r="K272" t="s">
        <v>28</v>
      </c>
      <c r="L272">
        <v>2</v>
      </c>
      <c r="M272">
        <v>5</v>
      </c>
    </row>
    <row r="273" spans="1:13" x14ac:dyDescent="0.3">
      <c r="A273">
        <v>272</v>
      </c>
      <c r="B273">
        <v>22</v>
      </c>
      <c r="C273" t="s">
        <v>21</v>
      </c>
      <c r="D273" t="s">
        <v>22</v>
      </c>
      <c r="E273" t="s">
        <v>44</v>
      </c>
      <c r="F273" t="s">
        <v>64</v>
      </c>
      <c r="G273" t="s">
        <v>41</v>
      </c>
      <c r="H273" t="s">
        <v>26</v>
      </c>
      <c r="I273" t="s">
        <v>70</v>
      </c>
      <c r="J273">
        <v>8</v>
      </c>
      <c r="K273" t="s">
        <v>20</v>
      </c>
      <c r="L273">
        <v>1</v>
      </c>
      <c r="M273">
        <v>4</v>
      </c>
    </row>
    <row r="274" spans="1:13" x14ac:dyDescent="0.3">
      <c r="A274">
        <v>273</v>
      </c>
      <c r="B274">
        <v>19</v>
      </c>
      <c r="C274" t="s">
        <v>13</v>
      </c>
      <c r="D274" t="s">
        <v>14</v>
      </c>
      <c r="E274" t="s">
        <v>51</v>
      </c>
      <c r="F274" t="s">
        <v>89</v>
      </c>
      <c r="G274" t="s">
        <v>211</v>
      </c>
      <c r="H274" t="s">
        <v>26</v>
      </c>
      <c r="I274" t="s">
        <v>204</v>
      </c>
      <c r="J274">
        <v>8</v>
      </c>
      <c r="K274" t="s">
        <v>28</v>
      </c>
      <c r="L274">
        <v>1</v>
      </c>
      <c r="M274">
        <v>3</v>
      </c>
    </row>
    <row r="275" spans="1:13" x14ac:dyDescent="0.3">
      <c r="A275">
        <v>274</v>
      </c>
      <c r="B275">
        <v>21</v>
      </c>
      <c r="C275" t="s">
        <v>21</v>
      </c>
      <c r="D275" t="s">
        <v>22</v>
      </c>
      <c r="E275" t="s">
        <v>60</v>
      </c>
      <c r="F275" t="s">
        <v>87</v>
      </c>
      <c r="G275" t="s">
        <v>17</v>
      </c>
      <c r="H275" t="s">
        <v>18</v>
      </c>
      <c r="I275" t="s">
        <v>75</v>
      </c>
      <c r="J275">
        <v>5</v>
      </c>
      <c r="K275" t="s">
        <v>28</v>
      </c>
      <c r="L275">
        <v>3</v>
      </c>
      <c r="M275">
        <v>7</v>
      </c>
    </row>
    <row r="276" spans="1:13" x14ac:dyDescent="0.3">
      <c r="A276">
        <v>275</v>
      </c>
      <c r="B276">
        <v>20</v>
      </c>
      <c r="C276" t="s">
        <v>13</v>
      </c>
      <c r="D276" t="s">
        <v>14</v>
      </c>
      <c r="E276" t="s">
        <v>53</v>
      </c>
      <c r="F276" t="s">
        <v>77</v>
      </c>
      <c r="G276" t="s">
        <v>212</v>
      </c>
      <c r="H276" t="s">
        <v>18</v>
      </c>
      <c r="I276" t="s">
        <v>127</v>
      </c>
      <c r="J276">
        <v>6</v>
      </c>
      <c r="K276" t="s">
        <v>20</v>
      </c>
      <c r="L276">
        <v>3</v>
      </c>
      <c r="M276">
        <v>6</v>
      </c>
    </row>
    <row r="277" spans="1:13" x14ac:dyDescent="0.3">
      <c r="A277">
        <v>276</v>
      </c>
      <c r="B277">
        <v>22</v>
      </c>
      <c r="C277" t="s">
        <v>21</v>
      </c>
      <c r="D277" t="s">
        <v>22</v>
      </c>
      <c r="E277" t="s">
        <v>63</v>
      </c>
      <c r="F277" t="s">
        <v>67</v>
      </c>
      <c r="G277" t="s">
        <v>213</v>
      </c>
      <c r="H277" t="s">
        <v>26</v>
      </c>
      <c r="I277" t="s">
        <v>70</v>
      </c>
      <c r="J277">
        <v>7</v>
      </c>
      <c r="K277" t="s">
        <v>28</v>
      </c>
      <c r="L277">
        <v>2</v>
      </c>
      <c r="M277">
        <v>5</v>
      </c>
    </row>
    <row r="278" spans="1:13" x14ac:dyDescent="0.3">
      <c r="A278">
        <v>277</v>
      </c>
      <c r="B278">
        <v>19</v>
      </c>
      <c r="C278" t="s">
        <v>13</v>
      </c>
      <c r="D278" t="s">
        <v>14</v>
      </c>
      <c r="E278" t="s">
        <v>29</v>
      </c>
      <c r="F278" t="s">
        <v>95</v>
      </c>
      <c r="G278" t="s">
        <v>31</v>
      </c>
      <c r="H278" t="s">
        <v>18</v>
      </c>
      <c r="I278" t="s">
        <v>59</v>
      </c>
      <c r="J278">
        <v>4</v>
      </c>
      <c r="K278" t="s">
        <v>20</v>
      </c>
      <c r="L278">
        <v>4</v>
      </c>
      <c r="M278">
        <v>9</v>
      </c>
    </row>
    <row r="279" spans="1:13" x14ac:dyDescent="0.3">
      <c r="A279">
        <v>278</v>
      </c>
      <c r="B279">
        <v>21</v>
      </c>
      <c r="C279" t="s">
        <v>21</v>
      </c>
      <c r="D279" t="s">
        <v>22</v>
      </c>
      <c r="E279" t="s">
        <v>35</v>
      </c>
      <c r="F279" t="s">
        <v>114</v>
      </c>
      <c r="G279" t="s">
        <v>17</v>
      </c>
      <c r="H279" t="s">
        <v>18</v>
      </c>
      <c r="I279" t="s">
        <v>19</v>
      </c>
      <c r="J279">
        <v>6</v>
      </c>
      <c r="K279" t="s">
        <v>28</v>
      </c>
      <c r="L279">
        <v>3</v>
      </c>
      <c r="M279">
        <v>7</v>
      </c>
    </row>
    <row r="280" spans="1:13" x14ac:dyDescent="0.3">
      <c r="A280">
        <v>279</v>
      </c>
      <c r="B280">
        <v>20</v>
      </c>
      <c r="C280" t="s">
        <v>13</v>
      </c>
      <c r="D280" t="s">
        <v>14</v>
      </c>
      <c r="E280" t="s">
        <v>42</v>
      </c>
      <c r="F280" t="s">
        <v>97</v>
      </c>
      <c r="G280" t="s">
        <v>41</v>
      </c>
      <c r="H280" t="s">
        <v>26</v>
      </c>
      <c r="I280" t="s">
        <v>100</v>
      </c>
      <c r="J280">
        <v>7</v>
      </c>
      <c r="K280" t="s">
        <v>20</v>
      </c>
      <c r="L280">
        <v>2</v>
      </c>
      <c r="M280">
        <v>5</v>
      </c>
    </row>
    <row r="281" spans="1:13" x14ac:dyDescent="0.3">
      <c r="A281">
        <v>280</v>
      </c>
      <c r="B281">
        <v>22</v>
      </c>
      <c r="C281" t="s">
        <v>21</v>
      </c>
      <c r="D281" t="s">
        <v>22</v>
      </c>
      <c r="E281" t="s">
        <v>44</v>
      </c>
      <c r="F281" t="s">
        <v>103</v>
      </c>
      <c r="G281" t="s">
        <v>17</v>
      </c>
      <c r="H281" t="s">
        <v>26</v>
      </c>
      <c r="I281" t="s">
        <v>200</v>
      </c>
      <c r="J281">
        <v>8</v>
      </c>
      <c r="K281" t="s">
        <v>28</v>
      </c>
      <c r="L281">
        <v>1</v>
      </c>
      <c r="M281">
        <v>4</v>
      </c>
    </row>
    <row r="282" spans="1:13" x14ac:dyDescent="0.3">
      <c r="A282">
        <v>281</v>
      </c>
      <c r="B282">
        <v>19</v>
      </c>
      <c r="C282" t="s">
        <v>13</v>
      </c>
      <c r="D282" t="s">
        <v>14</v>
      </c>
      <c r="E282" t="s">
        <v>51</v>
      </c>
      <c r="F282" t="s">
        <v>112</v>
      </c>
      <c r="G282" t="s">
        <v>211</v>
      </c>
      <c r="H282" t="s">
        <v>26</v>
      </c>
      <c r="I282" t="s">
        <v>205</v>
      </c>
      <c r="J282">
        <v>8</v>
      </c>
      <c r="K282" t="s">
        <v>28</v>
      </c>
      <c r="L282">
        <v>1</v>
      </c>
      <c r="M282">
        <v>3</v>
      </c>
    </row>
    <row r="283" spans="1:13" x14ac:dyDescent="0.3">
      <c r="A283">
        <v>282</v>
      </c>
      <c r="B283">
        <v>21</v>
      </c>
      <c r="C283" t="s">
        <v>21</v>
      </c>
      <c r="D283" t="s">
        <v>22</v>
      </c>
      <c r="E283" t="s">
        <v>60</v>
      </c>
      <c r="F283" t="s">
        <v>80</v>
      </c>
      <c r="G283" t="s">
        <v>31</v>
      </c>
      <c r="H283" t="s">
        <v>18</v>
      </c>
      <c r="I283" t="s">
        <v>65</v>
      </c>
      <c r="J283">
        <v>5</v>
      </c>
      <c r="K283" t="s">
        <v>20</v>
      </c>
      <c r="L283">
        <v>3</v>
      </c>
      <c r="M283">
        <v>8</v>
      </c>
    </row>
    <row r="284" spans="1:13" x14ac:dyDescent="0.3">
      <c r="A284">
        <v>283</v>
      </c>
      <c r="B284">
        <v>20</v>
      </c>
      <c r="C284" t="s">
        <v>13</v>
      </c>
      <c r="D284" t="s">
        <v>14</v>
      </c>
      <c r="E284" t="s">
        <v>53</v>
      </c>
      <c r="F284" t="s">
        <v>123</v>
      </c>
      <c r="G284" t="s">
        <v>212</v>
      </c>
      <c r="H284" t="s">
        <v>18</v>
      </c>
      <c r="I284" t="s">
        <v>43</v>
      </c>
      <c r="J284">
        <v>6</v>
      </c>
      <c r="K284" t="s">
        <v>28</v>
      </c>
      <c r="L284">
        <v>3</v>
      </c>
      <c r="M284">
        <v>6</v>
      </c>
    </row>
    <row r="285" spans="1:13" x14ac:dyDescent="0.3">
      <c r="A285">
        <v>284</v>
      </c>
      <c r="B285">
        <v>22</v>
      </c>
      <c r="C285" t="s">
        <v>21</v>
      </c>
      <c r="D285" t="s">
        <v>22</v>
      </c>
      <c r="E285" t="s">
        <v>63</v>
      </c>
      <c r="F285" t="s">
        <v>199</v>
      </c>
      <c r="G285" t="s">
        <v>213</v>
      </c>
      <c r="H285" t="s">
        <v>26</v>
      </c>
      <c r="I285" t="s">
        <v>200</v>
      </c>
      <c r="J285">
        <v>7</v>
      </c>
      <c r="K285" t="s">
        <v>20</v>
      </c>
      <c r="L285">
        <v>2</v>
      </c>
      <c r="M285">
        <v>5</v>
      </c>
    </row>
    <row r="286" spans="1:13" x14ac:dyDescent="0.3">
      <c r="A286">
        <v>285</v>
      </c>
      <c r="B286">
        <v>19</v>
      </c>
      <c r="C286" t="s">
        <v>13</v>
      </c>
      <c r="D286" t="s">
        <v>14</v>
      </c>
      <c r="E286" t="s">
        <v>29</v>
      </c>
      <c r="F286" t="s">
        <v>75</v>
      </c>
      <c r="G286" t="s">
        <v>17</v>
      </c>
      <c r="H286" t="s">
        <v>18</v>
      </c>
      <c r="I286" t="s">
        <v>87</v>
      </c>
      <c r="J286">
        <v>4</v>
      </c>
      <c r="K286" t="s">
        <v>28</v>
      </c>
      <c r="L286">
        <v>4</v>
      </c>
      <c r="M286">
        <v>9</v>
      </c>
    </row>
    <row r="287" spans="1:13" x14ac:dyDescent="0.3">
      <c r="A287">
        <v>286</v>
      </c>
      <c r="B287">
        <v>21</v>
      </c>
      <c r="C287" t="s">
        <v>21</v>
      </c>
      <c r="D287" t="s">
        <v>22</v>
      </c>
      <c r="E287" t="s">
        <v>35</v>
      </c>
      <c r="F287" t="s">
        <v>32</v>
      </c>
      <c r="G287" t="s">
        <v>41</v>
      </c>
      <c r="H287" t="s">
        <v>18</v>
      </c>
      <c r="I287" t="s">
        <v>95</v>
      </c>
      <c r="J287">
        <v>6</v>
      </c>
      <c r="K287" t="s">
        <v>20</v>
      </c>
      <c r="L287">
        <v>3</v>
      </c>
      <c r="M287">
        <v>7</v>
      </c>
    </row>
    <row r="288" spans="1:13" x14ac:dyDescent="0.3">
      <c r="A288">
        <v>287</v>
      </c>
      <c r="B288">
        <v>20</v>
      </c>
      <c r="C288" t="s">
        <v>13</v>
      </c>
      <c r="D288" t="s">
        <v>14</v>
      </c>
      <c r="E288" t="s">
        <v>42</v>
      </c>
      <c r="F288" t="s">
        <v>197</v>
      </c>
      <c r="G288" t="s">
        <v>17</v>
      </c>
      <c r="H288" t="s">
        <v>26</v>
      </c>
      <c r="I288" t="s">
        <v>27</v>
      </c>
      <c r="J288">
        <v>7</v>
      </c>
      <c r="K288" t="s">
        <v>28</v>
      </c>
      <c r="L288">
        <v>2</v>
      </c>
      <c r="M288">
        <v>5</v>
      </c>
    </row>
    <row r="289" spans="1:13" x14ac:dyDescent="0.3">
      <c r="A289">
        <v>288</v>
      </c>
      <c r="B289">
        <v>22</v>
      </c>
      <c r="C289" t="s">
        <v>21</v>
      </c>
      <c r="D289" t="s">
        <v>22</v>
      </c>
      <c r="E289" t="s">
        <v>44</v>
      </c>
      <c r="F289" t="s">
        <v>74</v>
      </c>
      <c r="G289" t="s">
        <v>41</v>
      </c>
      <c r="H289" t="s">
        <v>26</v>
      </c>
      <c r="I289" t="s">
        <v>47</v>
      </c>
      <c r="J289">
        <v>8</v>
      </c>
      <c r="K289" t="s">
        <v>20</v>
      </c>
      <c r="L289">
        <v>1</v>
      </c>
      <c r="M289">
        <v>4</v>
      </c>
    </row>
    <row r="290" spans="1:13" x14ac:dyDescent="0.3">
      <c r="A290">
        <v>289</v>
      </c>
      <c r="B290">
        <v>19</v>
      </c>
      <c r="C290" t="s">
        <v>13</v>
      </c>
      <c r="D290" t="s">
        <v>14</v>
      </c>
      <c r="E290" t="s">
        <v>51</v>
      </c>
      <c r="F290" t="s">
        <v>36</v>
      </c>
      <c r="G290" t="s">
        <v>211</v>
      </c>
      <c r="H290" t="s">
        <v>26</v>
      </c>
      <c r="I290" t="s">
        <v>207</v>
      </c>
      <c r="J290">
        <v>8</v>
      </c>
      <c r="K290" t="s">
        <v>28</v>
      </c>
      <c r="L290">
        <v>1</v>
      </c>
      <c r="M290">
        <v>3</v>
      </c>
    </row>
    <row r="291" spans="1:13" x14ac:dyDescent="0.3">
      <c r="A291">
        <v>290</v>
      </c>
      <c r="B291">
        <v>21</v>
      </c>
      <c r="C291" t="s">
        <v>21</v>
      </c>
      <c r="D291" t="s">
        <v>22</v>
      </c>
      <c r="E291" t="s">
        <v>60</v>
      </c>
      <c r="F291" t="s">
        <v>16</v>
      </c>
      <c r="G291" t="s">
        <v>17</v>
      </c>
      <c r="H291" t="s">
        <v>18</v>
      </c>
      <c r="I291" t="s">
        <v>90</v>
      </c>
      <c r="J291">
        <v>5</v>
      </c>
      <c r="K291" t="s">
        <v>28</v>
      </c>
      <c r="L291">
        <v>3</v>
      </c>
      <c r="M291">
        <v>7</v>
      </c>
    </row>
    <row r="292" spans="1:13" x14ac:dyDescent="0.3">
      <c r="A292">
        <v>291</v>
      </c>
      <c r="B292">
        <v>20</v>
      </c>
      <c r="C292" t="s">
        <v>13</v>
      </c>
      <c r="D292" t="s">
        <v>14</v>
      </c>
      <c r="E292" t="s">
        <v>53</v>
      </c>
      <c r="F292" t="s">
        <v>40</v>
      </c>
      <c r="G292" t="s">
        <v>212</v>
      </c>
      <c r="H292" t="s">
        <v>18</v>
      </c>
      <c r="I292" t="s">
        <v>83</v>
      </c>
      <c r="J292">
        <v>6</v>
      </c>
      <c r="K292" t="s">
        <v>20</v>
      </c>
      <c r="L292">
        <v>3</v>
      </c>
      <c r="M292">
        <v>6</v>
      </c>
    </row>
    <row r="293" spans="1:13" x14ac:dyDescent="0.3">
      <c r="A293">
        <v>292</v>
      </c>
      <c r="B293">
        <v>22</v>
      </c>
      <c r="C293" t="s">
        <v>21</v>
      </c>
      <c r="D293" t="s">
        <v>22</v>
      </c>
      <c r="E293" t="s">
        <v>63</v>
      </c>
      <c r="F293" t="s">
        <v>52</v>
      </c>
      <c r="G293" t="s">
        <v>213</v>
      </c>
      <c r="H293" t="s">
        <v>26</v>
      </c>
      <c r="I293" t="s">
        <v>47</v>
      </c>
      <c r="J293">
        <v>7</v>
      </c>
      <c r="K293" t="s">
        <v>28</v>
      </c>
      <c r="L293">
        <v>2</v>
      </c>
      <c r="M293">
        <v>5</v>
      </c>
    </row>
    <row r="294" spans="1:13" x14ac:dyDescent="0.3">
      <c r="A294">
        <v>293</v>
      </c>
      <c r="B294">
        <v>19</v>
      </c>
      <c r="C294" t="s">
        <v>13</v>
      </c>
      <c r="D294" t="s">
        <v>14</v>
      </c>
      <c r="E294" t="s">
        <v>29</v>
      </c>
      <c r="F294" t="s">
        <v>65</v>
      </c>
      <c r="G294" t="s">
        <v>31</v>
      </c>
      <c r="H294" t="s">
        <v>18</v>
      </c>
      <c r="I294" t="s">
        <v>80</v>
      </c>
      <c r="J294">
        <v>4</v>
      </c>
      <c r="K294" t="s">
        <v>20</v>
      </c>
      <c r="L294">
        <v>4</v>
      </c>
      <c r="M294">
        <v>9</v>
      </c>
    </row>
    <row r="295" spans="1:13" x14ac:dyDescent="0.3">
      <c r="A295">
        <v>294</v>
      </c>
      <c r="B295">
        <v>21</v>
      </c>
      <c r="C295" t="s">
        <v>21</v>
      </c>
      <c r="D295" t="s">
        <v>22</v>
      </c>
      <c r="E295" t="s">
        <v>35</v>
      </c>
      <c r="F295" t="s">
        <v>85</v>
      </c>
      <c r="G295" t="s">
        <v>17</v>
      </c>
      <c r="H295" t="s">
        <v>18</v>
      </c>
      <c r="I295" t="s">
        <v>75</v>
      </c>
      <c r="J295">
        <v>6</v>
      </c>
      <c r="K295" t="s">
        <v>28</v>
      </c>
      <c r="L295">
        <v>3</v>
      </c>
      <c r="M295">
        <v>7</v>
      </c>
    </row>
    <row r="296" spans="1:13" x14ac:dyDescent="0.3">
      <c r="A296">
        <v>295</v>
      </c>
      <c r="B296">
        <v>20</v>
      </c>
      <c r="C296" t="s">
        <v>13</v>
      </c>
      <c r="D296" t="s">
        <v>14</v>
      </c>
      <c r="E296" t="s">
        <v>42</v>
      </c>
      <c r="F296" t="s">
        <v>67</v>
      </c>
      <c r="G296" t="s">
        <v>41</v>
      </c>
      <c r="H296" t="s">
        <v>26</v>
      </c>
      <c r="I296" t="s">
        <v>196</v>
      </c>
      <c r="J296">
        <v>7</v>
      </c>
      <c r="K296" t="s">
        <v>20</v>
      </c>
      <c r="L296">
        <v>2</v>
      </c>
      <c r="M296">
        <v>5</v>
      </c>
    </row>
    <row r="297" spans="1:13" x14ac:dyDescent="0.3">
      <c r="A297">
        <v>296</v>
      </c>
      <c r="B297">
        <v>22</v>
      </c>
      <c r="C297" t="s">
        <v>21</v>
      </c>
      <c r="D297" t="s">
        <v>22</v>
      </c>
      <c r="E297" t="s">
        <v>44</v>
      </c>
      <c r="F297" t="s">
        <v>206</v>
      </c>
      <c r="G297" t="s">
        <v>17</v>
      </c>
      <c r="H297" t="s">
        <v>26</v>
      </c>
      <c r="I297" t="s">
        <v>201</v>
      </c>
      <c r="J297">
        <v>8</v>
      </c>
      <c r="K297" t="s">
        <v>28</v>
      </c>
      <c r="L297">
        <v>1</v>
      </c>
      <c r="M297">
        <v>4</v>
      </c>
    </row>
    <row r="298" spans="1:13" x14ac:dyDescent="0.3">
      <c r="A298">
        <v>297</v>
      </c>
      <c r="B298">
        <v>19</v>
      </c>
      <c r="C298" t="s">
        <v>13</v>
      </c>
      <c r="D298" t="s">
        <v>14</v>
      </c>
      <c r="E298" t="s">
        <v>51</v>
      </c>
      <c r="F298" t="s">
        <v>163</v>
      </c>
      <c r="G298" t="s">
        <v>211</v>
      </c>
      <c r="H298" t="s">
        <v>26</v>
      </c>
      <c r="I298" t="s">
        <v>208</v>
      </c>
      <c r="J298">
        <v>8</v>
      </c>
      <c r="K298" t="s">
        <v>28</v>
      </c>
      <c r="L298">
        <v>1</v>
      </c>
      <c r="M298">
        <v>3</v>
      </c>
    </row>
    <row r="299" spans="1:13" x14ac:dyDescent="0.3">
      <c r="A299">
        <v>298</v>
      </c>
      <c r="B299">
        <v>21</v>
      </c>
      <c r="C299" t="s">
        <v>21</v>
      </c>
      <c r="D299" t="s">
        <v>22</v>
      </c>
      <c r="E299" t="s">
        <v>60</v>
      </c>
      <c r="F299" t="s">
        <v>114</v>
      </c>
      <c r="G299" t="s">
        <v>31</v>
      </c>
      <c r="H299" t="s">
        <v>18</v>
      </c>
      <c r="I299" t="s">
        <v>38</v>
      </c>
      <c r="J299">
        <v>5</v>
      </c>
      <c r="K299" t="s">
        <v>20</v>
      </c>
      <c r="L299">
        <v>3</v>
      </c>
      <c r="M299">
        <v>8</v>
      </c>
    </row>
    <row r="300" spans="1:13" x14ac:dyDescent="0.3">
      <c r="A300">
        <v>299</v>
      </c>
      <c r="B300">
        <v>20</v>
      </c>
      <c r="C300" t="s">
        <v>13</v>
      </c>
      <c r="D300" t="s">
        <v>14</v>
      </c>
      <c r="E300" t="s">
        <v>53</v>
      </c>
      <c r="F300" t="s">
        <v>97</v>
      </c>
      <c r="G300" t="s">
        <v>212</v>
      </c>
      <c r="H300" t="s">
        <v>18</v>
      </c>
      <c r="I300" t="s">
        <v>100</v>
      </c>
      <c r="J300">
        <v>6</v>
      </c>
      <c r="K300" t="s">
        <v>28</v>
      </c>
      <c r="L300">
        <v>3</v>
      </c>
      <c r="M300">
        <v>6</v>
      </c>
    </row>
    <row r="301" spans="1:13" x14ac:dyDescent="0.3">
      <c r="A301">
        <v>300</v>
      </c>
      <c r="B301">
        <v>22</v>
      </c>
      <c r="C301" t="s">
        <v>21</v>
      </c>
      <c r="D301" t="s">
        <v>22</v>
      </c>
      <c r="E301" t="s">
        <v>63</v>
      </c>
      <c r="F301" t="s">
        <v>116</v>
      </c>
      <c r="G301" t="s">
        <v>213</v>
      </c>
      <c r="H301" t="s">
        <v>26</v>
      </c>
      <c r="I301" t="s">
        <v>201</v>
      </c>
      <c r="J301">
        <v>7</v>
      </c>
      <c r="K301" t="s">
        <v>20</v>
      </c>
      <c r="L301">
        <v>2</v>
      </c>
      <c r="M301">
        <v>5</v>
      </c>
    </row>
    <row r="302" spans="1:13" x14ac:dyDescent="0.3">
      <c r="A302">
        <v>301</v>
      </c>
      <c r="B302">
        <v>19</v>
      </c>
      <c r="C302" t="s">
        <v>13</v>
      </c>
      <c r="D302" t="s">
        <v>14</v>
      </c>
      <c r="E302" t="s">
        <v>29</v>
      </c>
      <c r="F302" t="s">
        <v>90</v>
      </c>
      <c r="G302" t="s">
        <v>17</v>
      </c>
      <c r="H302" t="s">
        <v>18</v>
      </c>
      <c r="I302" t="s">
        <v>16</v>
      </c>
      <c r="J302">
        <v>4</v>
      </c>
      <c r="K302" t="s">
        <v>28</v>
      </c>
      <c r="L302">
        <v>4</v>
      </c>
      <c r="M302">
        <v>9</v>
      </c>
    </row>
    <row r="303" spans="1:13" x14ac:dyDescent="0.3">
      <c r="A303">
        <v>302</v>
      </c>
      <c r="B303">
        <v>21</v>
      </c>
      <c r="C303" t="s">
        <v>21</v>
      </c>
      <c r="D303" t="s">
        <v>22</v>
      </c>
      <c r="E303" t="s">
        <v>35</v>
      </c>
      <c r="F303" t="s">
        <v>56</v>
      </c>
      <c r="G303" t="s">
        <v>41</v>
      </c>
      <c r="H303" t="s">
        <v>18</v>
      </c>
      <c r="I303" t="s">
        <v>65</v>
      </c>
      <c r="J303">
        <v>6</v>
      </c>
      <c r="K303" t="s">
        <v>20</v>
      </c>
      <c r="L303">
        <v>3</v>
      </c>
      <c r="M303">
        <v>7</v>
      </c>
    </row>
    <row r="304" spans="1:13" x14ac:dyDescent="0.3">
      <c r="A304">
        <v>303</v>
      </c>
      <c r="B304">
        <v>20</v>
      </c>
      <c r="C304" t="s">
        <v>13</v>
      </c>
      <c r="D304" t="s">
        <v>14</v>
      </c>
      <c r="E304" t="s">
        <v>42</v>
      </c>
      <c r="F304" t="s">
        <v>199</v>
      </c>
      <c r="G304" t="s">
        <v>17</v>
      </c>
      <c r="H304" t="s">
        <v>26</v>
      </c>
      <c r="I304" t="s">
        <v>198</v>
      </c>
      <c r="J304">
        <v>7</v>
      </c>
      <c r="K304" t="s">
        <v>28</v>
      </c>
      <c r="L304">
        <v>2</v>
      </c>
      <c r="M304">
        <v>5</v>
      </c>
    </row>
    <row r="305" spans="1:13" x14ac:dyDescent="0.3">
      <c r="A305">
        <v>304</v>
      </c>
      <c r="B305">
        <v>22</v>
      </c>
      <c r="C305" t="s">
        <v>21</v>
      </c>
      <c r="D305" t="s">
        <v>22</v>
      </c>
      <c r="E305" t="s">
        <v>44</v>
      </c>
      <c r="F305" t="s">
        <v>54</v>
      </c>
      <c r="G305" t="s">
        <v>41</v>
      </c>
      <c r="H305" t="s">
        <v>26</v>
      </c>
      <c r="I305" t="s">
        <v>202</v>
      </c>
      <c r="J305">
        <v>8</v>
      </c>
      <c r="K305" t="s">
        <v>20</v>
      </c>
      <c r="L305">
        <v>1</v>
      </c>
      <c r="M305">
        <v>4</v>
      </c>
    </row>
    <row r="306" spans="1:13" x14ac:dyDescent="0.3">
      <c r="A306">
        <v>305</v>
      </c>
      <c r="B306">
        <v>19</v>
      </c>
      <c r="C306" t="s">
        <v>13</v>
      </c>
      <c r="D306" t="s">
        <v>14</v>
      </c>
      <c r="E306" t="s">
        <v>51</v>
      </c>
      <c r="F306" t="s">
        <v>61</v>
      </c>
      <c r="G306" t="s">
        <v>211</v>
      </c>
      <c r="H306" t="s">
        <v>26</v>
      </c>
      <c r="I306" t="s">
        <v>209</v>
      </c>
      <c r="J306">
        <v>8</v>
      </c>
      <c r="K306" t="s">
        <v>28</v>
      </c>
      <c r="L306">
        <v>1</v>
      </c>
      <c r="M306">
        <v>3</v>
      </c>
    </row>
    <row r="307" spans="1:13" x14ac:dyDescent="0.3">
      <c r="A307">
        <v>306</v>
      </c>
      <c r="B307">
        <v>21</v>
      </c>
      <c r="C307" t="s">
        <v>21</v>
      </c>
      <c r="D307" t="s">
        <v>22</v>
      </c>
      <c r="E307" t="s">
        <v>60</v>
      </c>
      <c r="F307" t="s">
        <v>32</v>
      </c>
      <c r="G307" t="s">
        <v>17</v>
      </c>
      <c r="H307" t="s">
        <v>18</v>
      </c>
      <c r="I307" t="s">
        <v>127</v>
      </c>
      <c r="J307">
        <v>5</v>
      </c>
      <c r="K307" t="s">
        <v>28</v>
      </c>
      <c r="L307">
        <v>3</v>
      </c>
      <c r="M307">
        <v>7</v>
      </c>
    </row>
    <row r="308" spans="1:13" x14ac:dyDescent="0.3">
      <c r="A308">
        <v>307</v>
      </c>
      <c r="B308">
        <v>20</v>
      </c>
      <c r="C308" t="s">
        <v>13</v>
      </c>
      <c r="D308" t="s">
        <v>14</v>
      </c>
      <c r="E308" t="s">
        <v>53</v>
      </c>
      <c r="F308" t="s">
        <v>197</v>
      </c>
      <c r="G308" t="s">
        <v>212</v>
      </c>
      <c r="H308" t="s">
        <v>18</v>
      </c>
      <c r="I308" t="s">
        <v>27</v>
      </c>
      <c r="J308">
        <v>6</v>
      </c>
      <c r="K308" t="s">
        <v>20</v>
      </c>
      <c r="L308">
        <v>3</v>
      </c>
      <c r="M308">
        <v>6</v>
      </c>
    </row>
    <row r="309" spans="1:13" x14ac:dyDescent="0.3">
      <c r="A309">
        <v>308</v>
      </c>
      <c r="B309">
        <v>22</v>
      </c>
      <c r="C309" t="s">
        <v>21</v>
      </c>
      <c r="D309" t="s">
        <v>22</v>
      </c>
      <c r="E309" t="s">
        <v>63</v>
      </c>
      <c r="F309" t="s">
        <v>94</v>
      </c>
      <c r="G309" t="s">
        <v>213</v>
      </c>
      <c r="H309" t="s">
        <v>26</v>
      </c>
      <c r="I309" t="s">
        <v>202</v>
      </c>
      <c r="J309">
        <v>7</v>
      </c>
      <c r="K309" t="s">
        <v>28</v>
      </c>
      <c r="L309">
        <v>2</v>
      </c>
      <c r="M309">
        <v>5</v>
      </c>
    </row>
    <row r="310" spans="1:13" x14ac:dyDescent="0.3">
      <c r="A310">
        <v>309</v>
      </c>
      <c r="B310">
        <v>19</v>
      </c>
      <c r="C310" t="s">
        <v>13</v>
      </c>
      <c r="D310" t="s">
        <v>14</v>
      </c>
      <c r="E310" t="s">
        <v>29</v>
      </c>
      <c r="F310" t="s">
        <v>38</v>
      </c>
      <c r="G310" t="s">
        <v>31</v>
      </c>
      <c r="H310" t="s">
        <v>18</v>
      </c>
      <c r="I310" t="s">
        <v>114</v>
      </c>
      <c r="J310">
        <v>4</v>
      </c>
      <c r="K310" t="s">
        <v>20</v>
      </c>
      <c r="L310">
        <v>4</v>
      </c>
      <c r="M310">
        <v>9</v>
      </c>
    </row>
    <row r="311" spans="1:13" x14ac:dyDescent="0.3">
      <c r="A311">
        <v>310</v>
      </c>
      <c r="B311">
        <v>21</v>
      </c>
      <c r="C311" t="s">
        <v>21</v>
      </c>
      <c r="D311" t="s">
        <v>22</v>
      </c>
      <c r="E311" t="s">
        <v>35</v>
      </c>
      <c r="F311" t="s">
        <v>77</v>
      </c>
      <c r="G311" t="s">
        <v>17</v>
      </c>
      <c r="H311" t="s">
        <v>18</v>
      </c>
      <c r="I311" t="s">
        <v>90</v>
      </c>
      <c r="J311">
        <v>6</v>
      </c>
      <c r="K311" t="s">
        <v>28</v>
      </c>
      <c r="L311">
        <v>3</v>
      </c>
      <c r="M311">
        <v>7</v>
      </c>
    </row>
    <row r="312" spans="1:13" x14ac:dyDescent="0.3">
      <c r="A312">
        <v>311</v>
      </c>
      <c r="B312">
        <v>20</v>
      </c>
      <c r="C312" t="s">
        <v>13</v>
      </c>
      <c r="D312" t="s">
        <v>14</v>
      </c>
      <c r="E312" t="s">
        <v>42</v>
      </c>
      <c r="F312" t="s">
        <v>52</v>
      </c>
      <c r="G312" t="s">
        <v>41</v>
      </c>
      <c r="H312" t="s">
        <v>26</v>
      </c>
      <c r="I312" t="s">
        <v>70</v>
      </c>
      <c r="J312">
        <v>7</v>
      </c>
      <c r="K312" t="s">
        <v>20</v>
      </c>
      <c r="L312">
        <v>2</v>
      </c>
      <c r="M312">
        <v>5</v>
      </c>
    </row>
    <row r="313" spans="1:13" x14ac:dyDescent="0.3">
      <c r="A313">
        <v>312</v>
      </c>
      <c r="B313">
        <v>22</v>
      </c>
      <c r="C313" t="s">
        <v>21</v>
      </c>
      <c r="D313" t="s">
        <v>22</v>
      </c>
      <c r="E313" t="s">
        <v>44</v>
      </c>
      <c r="F313" t="s">
        <v>89</v>
      </c>
      <c r="G313" t="s">
        <v>17</v>
      </c>
      <c r="H313" t="s">
        <v>26</v>
      </c>
      <c r="I313" t="s">
        <v>203</v>
      </c>
      <c r="J313">
        <v>8</v>
      </c>
      <c r="K313" t="s">
        <v>28</v>
      </c>
      <c r="L313">
        <v>1</v>
      </c>
      <c r="M313">
        <v>4</v>
      </c>
    </row>
    <row r="314" spans="1:13" x14ac:dyDescent="0.3">
      <c r="A314">
        <v>313</v>
      </c>
      <c r="B314">
        <v>19</v>
      </c>
      <c r="C314" t="s">
        <v>13</v>
      </c>
      <c r="D314" t="s">
        <v>14</v>
      </c>
      <c r="E314" t="s">
        <v>51</v>
      </c>
      <c r="F314" t="s">
        <v>126</v>
      </c>
      <c r="G314" t="s">
        <v>211</v>
      </c>
      <c r="H314" t="s">
        <v>26</v>
      </c>
      <c r="I314" t="s">
        <v>210</v>
      </c>
      <c r="J314">
        <v>8</v>
      </c>
      <c r="K314" t="s">
        <v>28</v>
      </c>
      <c r="L314">
        <v>1</v>
      </c>
      <c r="M314">
        <v>3</v>
      </c>
    </row>
    <row r="315" spans="1:13" x14ac:dyDescent="0.3">
      <c r="A315">
        <v>314</v>
      </c>
      <c r="B315">
        <v>21</v>
      </c>
      <c r="C315" t="s">
        <v>21</v>
      </c>
      <c r="D315" t="s">
        <v>22</v>
      </c>
      <c r="E315" t="s">
        <v>60</v>
      </c>
      <c r="F315" t="s">
        <v>85</v>
      </c>
      <c r="G315" t="s">
        <v>31</v>
      </c>
      <c r="H315" t="s">
        <v>18</v>
      </c>
      <c r="I315" t="s">
        <v>43</v>
      </c>
      <c r="J315">
        <v>5</v>
      </c>
      <c r="K315" t="s">
        <v>20</v>
      </c>
      <c r="L315">
        <v>3</v>
      </c>
      <c r="M315">
        <v>8</v>
      </c>
    </row>
    <row r="316" spans="1:13" x14ac:dyDescent="0.3">
      <c r="A316">
        <v>315</v>
      </c>
      <c r="B316">
        <v>20</v>
      </c>
      <c r="C316" t="s">
        <v>13</v>
      </c>
      <c r="D316" t="s">
        <v>14</v>
      </c>
      <c r="E316" t="s">
        <v>53</v>
      </c>
      <c r="F316" t="s">
        <v>67</v>
      </c>
      <c r="G316" t="s">
        <v>212</v>
      </c>
      <c r="H316" t="s">
        <v>18</v>
      </c>
      <c r="I316" t="s">
        <v>196</v>
      </c>
      <c r="J316">
        <v>6</v>
      </c>
      <c r="K316" t="s">
        <v>28</v>
      </c>
      <c r="L316">
        <v>3</v>
      </c>
      <c r="M316">
        <v>6</v>
      </c>
    </row>
    <row r="317" spans="1:13" x14ac:dyDescent="0.3">
      <c r="A317">
        <v>316</v>
      </c>
      <c r="B317">
        <v>22</v>
      </c>
      <c r="C317" t="s">
        <v>21</v>
      </c>
      <c r="D317" t="s">
        <v>22</v>
      </c>
      <c r="E317" t="s">
        <v>63</v>
      </c>
      <c r="F317" t="s">
        <v>64</v>
      </c>
      <c r="G317" t="s">
        <v>213</v>
      </c>
      <c r="H317" t="s">
        <v>26</v>
      </c>
      <c r="I317" t="s">
        <v>203</v>
      </c>
      <c r="J317">
        <v>7</v>
      </c>
      <c r="K317" t="s">
        <v>20</v>
      </c>
      <c r="L317">
        <v>2</v>
      </c>
      <c r="M317">
        <v>5</v>
      </c>
    </row>
    <row r="318" spans="1:13" x14ac:dyDescent="0.3">
      <c r="A318">
        <v>317</v>
      </c>
      <c r="B318">
        <v>19</v>
      </c>
      <c r="C318" t="s">
        <v>13</v>
      </c>
      <c r="D318" t="s">
        <v>14</v>
      </c>
      <c r="E318" t="s">
        <v>29</v>
      </c>
      <c r="F318" t="s">
        <v>127</v>
      </c>
      <c r="G318" t="s">
        <v>17</v>
      </c>
      <c r="H318" t="s">
        <v>18</v>
      </c>
      <c r="I318" t="s">
        <v>32</v>
      </c>
      <c r="J318">
        <v>4</v>
      </c>
      <c r="K318" t="s">
        <v>28</v>
      </c>
      <c r="L318">
        <v>4</v>
      </c>
      <c r="M318">
        <v>9</v>
      </c>
    </row>
    <row r="319" spans="1:13" x14ac:dyDescent="0.3">
      <c r="A319">
        <v>318</v>
      </c>
      <c r="B319">
        <v>21</v>
      </c>
      <c r="C319" t="s">
        <v>21</v>
      </c>
      <c r="D319" t="s">
        <v>22</v>
      </c>
      <c r="E319" t="s">
        <v>35</v>
      </c>
      <c r="F319" t="s">
        <v>123</v>
      </c>
      <c r="G319" t="s">
        <v>41</v>
      </c>
      <c r="H319" t="s">
        <v>18</v>
      </c>
      <c r="I319" t="s">
        <v>38</v>
      </c>
      <c r="J319">
        <v>6</v>
      </c>
      <c r="K319" t="s">
        <v>20</v>
      </c>
      <c r="L319">
        <v>3</v>
      </c>
      <c r="M319">
        <v>7</v>
      </c>
    </row>
    <row r="320" spans="1:13" x14ac:dyDescent="0.3">
      <c r="A320">
        <v>319</v>
      </c>
      <c r="B320">
        <v>20</v>
      </c>
      <c r="C320" t="s">
        <v>13</v>
      </c>
      <c r="D320" t="s">
        <v>14</v>
      </c>
      <c r="E320" t="s">
        <v>42</v>
      </c>
      <c r="F320" t="s">
        <v>116</v>
      </c>
      <c r="G320" t="s">
        <v>17</v>
      </c>
      <c r="H320" t="s">
        <v>26</v>
      </c>
      <c r="I320" t="s">
        <v>200</v>
      </c>
      <c r="J320">
        <v>7</v>
      </c>
      <c r="K320" t="s">
        <v>28</v>
      </c>
      <c r="L320">
        <v>2</v>
      </c>
      <c r="M320">
        <v>5</v>
      </c>
    </row>
    <row r="321" spans="1:13" x14ac:dyDescent="0.3">
      <c r="A321">
        <v>320</v>
      </c>
      <c r="B321">
        <v>22</v>
      </c>
      <c r="C321" t="s">
        <v>21</v>
      </c>
      <c r="D321" t="s">
        <v>22</v>
      </c>
      <c r="E321" t="s">
        <v>44</v>
      </c>
      <c r="F321" t="s">
        <v>112</v>
      </c>
      <c r="G321" t="s">
        <v>41</v>
      </c>
      <c r="H321" t="s">
        <v>26</v>
      </c>
      <c r="I321" t="s">
        <v>204</v>
      </c>
      <c r="J321">
        <v>8</v>
      </c>
      <c r="K321" t="s">
        <v>20</v>
      </c>
      <c r="L321">
        <v>1</v>
      </c>
      <c r="M321">
        <v>4</v>
      </c>
    </row>
    <row r="322" spans="1:13" x14ac:dyDescent="0.3">
      <c r="A322">
        <v>321</v>
      </c>
      <c r="B322">
        <v>19</v>
      </c>
      <c r="C322" t="s">
        <v>13</v>
      </c>
      <c r="D322" t="s">
        <v>14</v>
      </c>
      <c r="E322" t="s">
        <v>58</v>
      </c>
      <c r="F322" t="s">
        <v>16</v>
      </c>
      <c r="G322" t="s">
        <v>17</v>
      </c>
      <c r="H322" t="s">
        <v>18</v>
      </c>
      <c r="I322" t="s">
        <v>65</v>
      </c>
      <c r="J322">
        <v>6</v>
      </c>
      <c r="K322" t="s">
        <v>28</v>
      </c>
      <c r="L322">
        <v>3</v>
      </c>
      <c r="M322">
        <v>7</v>
      </c>
    </row>
    <row r="323" spans="1:13" x14ac:dyDescent="0.3">
      <c r="A323">
        <v>322</v>
      </c>
      <c r="B323">
        <v>21</v>
      </c>
      <c r="C323" t="s">
        <v>21</v>
      </c>
      <c r="D323" t="s">
        <v>22</v>
      </c>
      <c r="E323" t="s">
        <v>73</v>
      </c>
      <c r="F323" t="s">
        <v>199</v>
      </c>
      <c r="G323" t="s">
        <v>41</v>
      </c>
      <c r="H323" t="s">
        <v>26</v>
      </c>
      <c r="I323" t="s">
        <v>70</v>
      </c>
      <c r="J323">
        <v>8</v>
      </c>
      <c r="K323" t="s">
        <v>20</v>
      </c>
      <c r="L323">
        <v>2</v>
      </c>
      <c r="M323">
        <v>4</v>
      </c>
    </row>
    <row r="324" spans="1:13" x14ac:dyDescent="0.3">
      <c r="A324">
        <v>323</v>
      </c>
      <c r="B324">
        <v>20</v>
      </c>
      <c r="C324" t="s">
        <v>13</v>
      </c>
      <c r="D324" t="s">
        <v>14</v>
      </c>
      <c r="E324" t="s">
        <v>91</v>
      </c>
      <c r="F324" t="s">
        <v>32</v>
      </c>
      <c r="G324" t="s">
        <v>17</v>
      </c>
      <c r="H324" t="s">
        <v>18</v>
      </c>
      <c r="I324" t="s">
        <v>38</v>
      </c>
      <c r="J324">
        <v>7</v>
      </c>
      <c r="K324" t="s">
        <v>28</v>
      </c>
      <c r="L324">
        <v>3</v>
      </c>
      <c r="M324">
        <v>6</v>
      </c>
    </row>
    <row r="325" spans="1:13" x14ac:dyDescent="0.3">
      <c r="A325">
        <v>324</v>
      </c>
      <c r="B325">
        <v>22</v>
      </c>
      <c r="C325" t="s">
        <v>21</v>
      </c>
      <c r="D325" t="s">
        <v>22</v>
      </c>
      <c r="E325" t="s">
        <v>23</v>
      </c>
      <c r="F325" t="s">
        <v>49</v>
      </c>
      <c r="G325" t="s">
        <v>214</v>
      </c>
      <c r="H325" t="s">
        <v>18</v>
      </c>
      <c r="I325" t="s">
        <v>19</v>
      </c>
      <c r="J325">
        <v>5</v>
      </c>
      <c r="K325" t="s">
        <v>20</v>
      </c>
      <c r="L325">
        <v>4</v>
      </c>
      <c r="M325">
        <v>8</v>
      </c>
    </row>
    <row r="326" spans="1:13" x14ac:dyDescent="0.3">
      <c r="A326">
        <v>325</v>
      </c>
      <c r="B326">
        <v>19</v>
      </c>
      <c r="C326" t="s">
        <v>13</v>
      </c>
      <c r="D326" t="s">
        <v>14</v>
      </c>
      <c r="E326" t="s">
        <v>81</v>
      </c>
      <c r="F326" t="s">
        <v>52</v>
      </c>
      <c r="G326" t="s">
        <v>17</v>
      </c>
      <c r="H326" t="s">
        <v>26</v>
      </c>
      <c r="I326" t="s">
        <v>200</v>
      </c>
      <c r="J326">
        <v>8</v>
      </c>
      <c r="K326" t="s">
        <v>28</v>
      </c>
      <c r="L326">
        <v>2</v>
      </c>
      <c r="M326">
        <v>4</v>
      </c>
    </row>
    <row r="327" spans="1:13" x14ac:dyDescent="0.3">
      <c r="A327">
        <v>326</v>
      </c>
      <c r="B327">
        <v>21</v>
      </c>
      <c r="C327" t="s">
        <v>21</v>
      </c>
      <c r="D327" t="s">
        <v>22</v>
      </c>
      <c r="E327" t="s">
        <v>109</v>
      </c>
      <c r="F327" t="s">
        <v>59</v>
      </c>
      <c r="G327" t="s">
        <v>17</v>
      </c>
      <c r="H327" t="s">
        <v>18</v>
      </c>
      <c r="I327" t="s">
        <v>75</v>
      </c>
      <c r="J327">
        <v>6</v>
      </c>
      <c r="K327" t="s">
        <v>28</v>
      </c>
      <c r="L327">
        <v>3</v>
      </c>
      <c r="M327">
        <v>7</v>
      </c>
    </row>
    <row r="328" spans="1:13" x14ac:dyDescent="0.3">
      <c r="A328">
        <v>327</v>
      </c>
      <c r="B328">
        <v>20</v>
      </c>
      <c r="C328" t="s">
        <v>13</v>
      </c>
      <c r="D328" t="s">
        <v>14</v>
      </c>
      <c r="E328" t="s">
        <v>29</v>
      </c>
      <c r="F328" t="s">
        <v>65</v>
      </c>
      <c r="G328" t="s">
        <v>31</v>
      </c>
      <c r="H328" t="s">
        <v>18</v>
      </c>
      <c r="I328" t="s">
        <v>59</v>
      </c>
      <c r="J328">
        <v>5</v>
      </c>
      <c r="K328" t="s">
        <v>20</v>
      </c>
      <c r="L328">
        <v>4</v>
      </c>
      <c r="M328">
        <v>9</v>
      </c>
    </row>
    <row r="329" spans="1:13" x14ac:dyDescent="0.3">
      <c r="A329">
        <v>328</v>
      </c>
      <c r="B329">
        <v>22</v>
      </c>
      <c r="C329" t="s">
        <v>21</v>
      </c>
      <c r="D329" t="s">
        <v>22</v>
      </c>
      <c r="E329" t="s">
        <v>62</v>
      </c>
      <c r="F329" t="s">
        <v>110</v>
      </c>
      <c r="G329" t="s">
        <v>214</v>
      </c>
      <c r="H329" t="s">
        <v>18</v>
      </c>
      <c r="I329" t="s">
        <v>95</v>
      </c>
      <c r="J329">
        <v>6</v>
      </c>
      <c r="K329" t="s">
        <v>28</v>
      </c>
      <c r="L329">
        <v>3</v>
      </c>
      <c r="M329">
        <v>7</v>
      </c>
    </row>
    <row r="330" spans="1:13" x14ac:dyDescent="0.3">
      <c r="A330">
        <v>329</v>
      </c>
      <c r="B330">
        <v>19</v>
      </c>
      <c r="C330" t="s">
        <v>13</v>
      </c>
      <c r="D330" t="s">
        <v>14</v>
      </c>
      <c r="E330" t="s">
        <v>55</v>
      </c>
      <c r="F330" t="s">
        <v>40</v>
      </c>
      <c r="G330" t="s">
        <v>17</v>
      </c>
      <c r="H330" t="s">
        <v>26</v>
      </c>
      <c r="I330" t="s">
        <v>27</v>
      </c>
      <c r="J330">
        <v>7</v>
      </c>
      <c r="K330" t="s">
        <v>20</v>
      </c>
      <c r="L330">
        <v>2</v>
      </c>
      <c r="M330">
        <v>5</v>
      </c>
    </row>
    <row r="331" spans="1:13" x14ac:dyDescent="0.3">
      <c r="A331">
        <v>330</v>
      </c>
      <c r="B331">
        <v>21</v>
      </c>
      <c r="C331" t="s">
        <v>21</v>
      </c>
      <c r="D331" t="s">
        <v>22</v>
      </c>
      <c r="E331" t="s">
        <v>39</v>
      </c>
      <c r="F331" t="s">
        <v>80</v>
      </c>
      <c r="G331" t="s">
        <v>17</v>
      </c>
      <c r="H331" t="s">
        <v>18</v>
      </c>
      <c r="I331" t="s">
        <v>90</v>
      </c>
      <c r="J331">
        <v>6</v>
      </c>
      <c r="K331" t="s">
        <v>28</v>
      </c>
      <c r="L331">
        <v>3</v>
      </c>
      <c r="M331">
        <v>7</v>
      </c>
    </row>
    <row r="332" spans="1:13" x14ac:dyDescent="0.3">
      <c r="A332">
        <v>331</v>
      </c>
      <c r="B332">
        <v>20</v>
      </c>
      <c r="C332" t="s">
        <v>13</v>
      </c>
      <c r="D332" t="s">
        <v>14</v>
      </c>
      <c r="E332" t="s">
        <v>58</v>
      </c>
      <c r="F332" t="s">
        <v>114</v>
      </c>
      <c r="G332" t="s">
        <v>31</v>
      </c>
      <c r="H332" t="s">
        <v>18</v>
      </c>
      <c r="I332" t="s">
        <v>75</v>
      </c>
      <c r="J332">
        <v>6</v>
      </c>
      <c r="K332" t="s">
        <v>28</v>
      </c>
      <c r="L332">
        <v>3</v>
      </c>
      <c r="M332">
        <v>7</v>
      </c>
    </row>
    <row r="333" spans="1:13" x14ac:dyDescent="0.3">
      <c r="A333">
        <v>332</v>
      </c>
      <c r="B333">
        <v>22</v>
      </c>
      <c r="C333" t="s">
        <v>21</v>
      </c>
      <c r="D333" t="s">
        <v>22</v>
      </c>
      <c r="E333" t="s">
        <v>73</v>
      </c>
      <c r="F333" t="s">
        <v>116</v>
      </c>
      <c r="G333" t="s">
        <v>41</v>
      </c>
      <c r="H333" t="s">
        <v>26</v>
      </c>
      <c r="I333" t="s">
        <v>200</v>
      </c>
      <c r="J333">
        <v>8</v>
      </c>
      <c r="K333" t="s">
        <v>20</v>
      </c>
      <c r="L333">
        <v>2</v>
      </c>
      <c r="M333">
        <v>4</v>
      </c>
    </row>
    <row r="334" spans="1:13" x14ac:dyDescent="0.3">
      <c r="A334">
        <v>333</v>
      </c>
      <c r="B334">
        <v>19</v>
      </c>
      <c r="C334" t="s">
        <v>13</v>
      </c>
      <c r="D334" t="s">
        <v>14</v>
      </c>
      <c r="E334" t="s">
        <v>91</v>
      </c>
      <c r="F334" t="s">
        <v>56</v>
      </c>
      <c r="G334" t="s">
        <v>17</v>
      </c>
      <c r="H334" t="s">
        <v>18</v>
      </c>
      <c r="I334" t="s">
        <v>127</v>
      </c>
      <c r="J334">
        <v>7</v>
      </c>
      <c r="K334" t="s">
        <v>28</v>
      </c>
      <c r="L334">
        <v>3</v>
      </c>
      <c r="M334">
        <v>6</v>
      </c>
    </row>
    <row r="335" spans="1:13" x14ac:dyDescent="0.3">
      <c r="A335">
        <v>334</v>
      </c>
      <c r="B335">
        <v>21</v>
      </c>
      <c r="C335" t="s">
        <v>21</v>
      </c>
      <c r="D335" t="s">
        <v>22</v>
      </c>
      <c r="E335" t="s">
        <v>23</v>
      </c>
      <c r="F335" t="s">
        <v>78</v>
      </c>
      <c r="G335" t="s">
        <v>214</v>
      </c>
      <c r="H335" t="s">
        <v>18</v>
      </c>
      <c r="I335" t="s">
        <v>134</v>
      </c>
      <c r="J335">
        <v>5</v>
      </c>
      <c r="K335" t="s">
        <v>20</v>
      </c>
      <c r="L335">
        <v>4</v>
      </c>
      <c r="M335">
        <v>8</v>
      </c>
    </row>
    <row r="336" spans="1:13" x14ac:dyDescent="0.3">
      <c r="A336">
        <v>335</v>
      </c>
      <c r="B336">
        <v>20</v>
      </c>
      <c r="C336" t="s">
        <v>13</v>
      </c>
      <c r="D336" t="s">
        <v>14</v>
      </c>
      <c r="E336" t="s">
        <v>81</v>
      </c>
      <c r="F336" t="s">
        <v>94</v>
      </c>
      <c r="G336" t="s">
        <v>17</v>
      </c>
      <c r="H336" t="s">
        <v>26</v>
      </c>
      <c r="I336" t="s">
        <v>47</v>
      </c>
      <c r="J336">
        <v>8</v>
      </c>
      <c r="K336" t="s">
        <v>28</v>
      </c>
      <c r="L336">
        <v>2</v>
      </c>
      <c r="M336">
        <v>4</v>
      </c>
    </row>
    <row r="337" spans="1:13" x14ac:dyDescent="0.3">
      <c r="A337">
        <v>336</v>
      </c>
      <c r="B337">
        <v>22</v>
      </c>
      <c r="C337" t="s">
        <v>21</v>
      </c>
      <c r="D337" t="s">
        <v>22</v>
      </c>
      <c r="E337" t="s">
        <v>109</v>
      </c>
      <c r="F337" t="s">
        <v>87</v>
      </c>
      <c r="G337" t="s">
        <v>31</v>
      </c>
      <c r="H337" t="s">
        <v>18</v>
      </c>
      <c r="I337" t="s">
        <v>65</v>
      </c>
      <c r="J337">
        <v>6</v>
      </c>
      <c r="K337" t="s">
        <v>28</v>
      </c>
      <c r="L337">
        <v>3</v>
      </c>
      <c r="M337">
        <v>7</v>
      </c>
    </row>
    <row r="338" spans="1:13" x14ac:dyDescent="0.3">
      <c r="A338">
        <v>337</v>
      </c>
      <c r="B338">
        <v>19</v>
      </c>
      <c r="C338" t="s">
        <v>13</v>
      </c>
      <c r="D338" t="s">
        <v>14</v>
      </c>
      <c r="E338" t="s">
        <v>29</v>
      </c>
      <c r="F338" t="s">
        <v>90</v>
      </c>
      <c r="G338" t="s">
        <v>17</v>
      </c>
      <c r="H338" t="s">
        <v>18</v>
      </c>
      <c r="I338" t="s">
        <v>87</v>
      </c>
      <c r="J338">
        <v>5</v>
      </c>
      <c r="K338" t="s">
        <v>20</v>
      </c>
      <c r="L338">
        <v>4</v>
      </c>
      <c r="M338">
        <v>9</v>
      </c>
    </row>
    <row r="339" spans="1:13" x14ac:dyDescent="0.3">
      <c r="A339">
        <v>338</v>
      </c>
      <c r="B339">
        <v>21</v>
      </c>
      <c r="C339" t="s">
        <v>21</v>
      </c>
      <c r="D339" t="s">
        <v>22</v>
      </c>
      <c r="E339" t="s">
        <v>62</v>
      </c>
      <c r="F339" t="s">
        <v>72</v>
      </c>
      <c r="G339" t="s">
        <v>214</v>
      </c>
      <c r="H339" t="s">
        <v>18</v>
      </c>
      <c r="I339" t="s">
        <v>19</v>
      </c>
      <c r="J339">
        <v>6</v>
      </c>
      <c r="K339" t="s">
        <v>28</v>
      </c>
      <c r="L339">
        <v>3</v>
      </c>
      <c r="M339">
        <v>7</v>
      </c>
    </row>
    <row r="340" spans="1:13" x14ac:dyDescent="0.3">
      <c r="A340">
        <v>339</v>
      </c>
      <c r="B340">
        <v>20</v>
      </c>
      <c r="C340" t="s">
        <v>13</v>
      </c>
      <c r="D340" t="s">
        <v>14</v>
      </c>
      <c r="E340" t="s">
        <v>55</v>
      </c>
      <c r="F340" t="s">
        <v>97</v>
      </c>
      <c r="G340" t="s">
        <v>17</v>
      </c>
      <c r="H340" t="s">
        <v>26</v>
      </c>
      <c r="I340" t="s">
        <v>196</v>
      </c>
      <c r="J340">
        <v>7</v>
      </c>
      <c r="K340" t="s">
        <v>20</v>
      </c>
      <c r="L340">
        <v>2</v>
      </c>
      <c r="M340">
        <v>5</v>
      </c>
    </row>
    <row r="341" spans="1:13" x14ac:dyDescent="0.3">
      <c r="A341">
        <v>340</v>
      </c>
      <c r="B341">
        <v>22</v>
      </c>
      <c r="C341" t="s">
        <v>21</v>
      </c>
      <c r="D341" t="s">
        <v>22</v>
      </c>
      <c r="E341" t="s">
        <v>39</v>
      </c>
      <c r="F341" t="s">
        <v>16</v>
      </c>
      <c r="G341" t="s">
        <v>31</v>
      </c>
      <c r="H341" t="s">
        <v>18</v>
      </c>
      <c r="I341" t="s">
        <v>38</v>
      </c>
      <c r="J341">
        <v>6</v>
      </c>
      <c r="K341" t="s">
        <v>28</v>
      </c>
      <c r="L341">
        <v>3</v>
      </c>
      <c r="M341">
        <v>7</v>
      </c>
    </row>
    <row r="342" spans="1:13" x14ac:dyDescent="0.3">
      <c r="A342">
        <v>341</v>
      </c>
      <c r="B342">
        <v>19</v>
      </c>
      <c r="C342" t="s">
        <v>13</v>
      </c>
      <c r="D342" t="s">
        <v>14</v>
      </c>
      <c r="E342" t="s">
        <v>58</v>
      </c>
      <c r="F342" t="s">
        <v>32</v>
      </c>
      <c r="G342" t="s">
        <v>17</v>
      </c>
      <c r="H342" t="s">
        <v>18</v>
      </c>
      <c r="I342" t="s">
        <v>90</v>
      </c>
      <c r="J342">
        <v>6</v>
      </c>
      <c r="K342" t="s">
        <v>28</v>
      </c>
      <c r="L342">
        <v>3</v>
      </c>
      <c r="M342">
        <v>7</v>
      </c>
    </row>
    <row r="343" spans="1:13" x14ac:dyDescent="0.3">
      <c r="A343">
        <v>342</v>
      </c>
      <c r="B343">
        <v>21</v>
      </c>
      <c r="C343" t="s">
        <v>21</v>
      </c>
      <c r="D343" t="s">
        <v>22</v>
      </c>
      <c r="E343" t="s">
        <v>73</v>
      </c>
      <c r="F343" t="s">
        <v>94</v>
      </c>
      <c r="G343" t="s">
        <v>41</v>
      </c>
      <c r="H343" t="s">
        <v>26</v>
      </c>
      <c r="I343" t="s">
        <v>47</v>
      </c>
      <c r="J343">
        <v>8</v>
      </c>
      <c r="K343" t="s">
        <v>20</v>
      </c>
      <c r="L343">
        <v>2</v>
      </c>
      <c r="M343">
        <v>4</v>
      </c>
    </row>
    <row r="344" spans="1:13" x14ac:dyDescent="0.3">
      <c r="A344">
        <v>343</v>
      </c>
      <c r="B344">
        <v>20</v>
      </c>
      <c r="C344" t="s">
        <v>13</v>
      </c>
      <c r="D344" t="s">
        <v>14</v>
      </c>
      <c r="E344" t="s">
        <v>91</v>
      </c>
      <c r="F344" t="s">
        <v>77</v>
      </c>
      <c r="G344" t="s">
        <v>31</v>
      </c>
      <c r="H344" t="s">
        <v>18</v>
      </c>
      <c r="I344" t="s">
        <v>43</v>
      </c>
      <c r="J344">
        <v>7</v>
      </c>
      <c r="K344" t="s">
        <v>28</v>
      </c>
      <c r="L344">
        <v>3</v>
      </c>
      <c r="M344">
        <v>6</v>
      </c>
    </row>
    <row r="345" spans="1:13" x14ac:dyDescent="0.3">
      <c r="A345">
        <v>344</v>
      </c>
      <c r="B345">
        <v>22</v>
      </c>
      <c r="C345" t="s">
        <v>21</v>
      </c>
      <c r="D345" t="s">
        <v>22</v>
      </c>
      <c r="E345" t="s">
        <v>23</v>
      </c>
      <c r="F345" t="s">
        <v>30</v>
      </c>
      <c r="G345" t="s">
        <v>214</v>
      </c>
      <c r="H345" t="s">
        <v>18</v>
      </c>
      <c r="I345" t="s">
        <v>132</v>
      </c>
      <c r="J345">
        <v>5</v>
      </c>
      <c r="K345" t="s">
        <v>20</v>
      </c>
      <c r="L345">
        <v>4</v>
      </c>
      <c r="M345">
        <v>8</v>
      </c>
    </row>
    <row r="346" spans="1:13" x14ac:dyDescent="0.3">
      <c r="A346">
        <v>345</v>
      </c>
      <c r="B346">
        <v>19</v>
      </c>
      <c r="C346" t="s">
        <v>13</v>
      </c>
      <c r="D346" t="s">
        <v>14</v>
      </c>
      <c r="E346" t="s">
        <v>81</v>
      </c>
      <c r="F346" t="s">
        <v>64</v>
      </c>
      <c r="G346" t="s">
        <v>17</v>
      </c>
      <c r="H346" t="s">
        <v>26</v>
      </c>
      <c r="I346" t="s">
        <v>201</v>
      </c>
      <c r="J346">
        <v>8</v>
      </c>
      <c r="K346" t="s">
        <v>28</v>
      </c>
      <c r="L346">
        <v>2</v>
      </c>
      <c r="M346">
        <v>4</v>
      </c>
    </row>
    <row r="347" spans="1:13" x14ac:dyDescent="0.3">
      <c r="A347">
        <v>346</v>
      </c>
      <c r="B347">
        <v>21</v>
      </c>
      <c r="C347" t="s">
        <v>21</v>
      </c>
      <c r="D347" t="s">
        <v>22</v>
      </c>
      <c r="E347" t="s">
        <v>109</v>
      </c>
      <c r="F347" t="s">
        <v>80</v>
      </c>
      <c r="G347" t="s">
        <v>17</v>
      </c>
      <c r="H347" t="s">
        <v>18</v>
      </c>
      <c r="I347" t="s">
        <v>90</v>
      </c>
      <c r="J347">
        <v>6</v>
      </c>
      <c r="K347" t="s">
        <v>28</v>
      </c>
      <c r="L347">
        <v>3</v>
      </c>
      <c r="M347">
        <v>7</v>
      </c>
    </row>
    <row r="348" spans="1:13" x14ac:dyDescent="0.3">
      <c r="A348">
        <v>347</v>
      </c>
      <c r="B348">
        <v>20</v>
      </c>
      <c r="C348" t="s">
        <v>13</v>
      </c>
      <c r="D348" t="s">
        <v>14</v>
      </c>
      <c r="E348" t="s">
        <v>29</v>
      </c>
      <c r="F348" t="s">
        <v>38</v>
      </c>
      <c r="G348" t="s">
        <v>31</v>
      </c>
      <c r="H348" t="s">
        <v>18</v>
      </c>
      <c r="I348" t="s">
        <v>80</v>
      </c>
      <c r="J348">
        <v>5</v>
      </c>
      <c r="K348" t="s">
        <v>20</v>
      </c>
      <c r="L348">
        <v>4</v>
      </c>
      <c r="M348">
        <v>9</v>
      </c>
    </row>
    <row r="349" spans="1:13" x14ac:dyDescent="0.3">
      <c r="A349">
        <v>348</v>
      </c>
      <c r="B349">
        <v>22</v>
      </c>
      <c r="C349" t="s">
        <v>21</v>
      </c>
      <c r="D349" t="s">
        <v>22</v>
      </c>
      <c r="E349" t="s">
        <v>62</v>
      </c>
      <c r="F349" t="s">
        <v>49</v>
      </c>
      <c r="G349" t="s">
        <v>214</v>
      </c>
      <c r="H349" t="s">
        <v>18</v>
      </c>
      <c r="I349" t="s">
        <v>134</v>
      </c>
      <c r="J349">
        <v>6</v>
      </c>
      <c r="K349" t="s">
        <v>28</v>
      </c>
      <c r="L349">
        <v>3</v>
      </c>
      <c r="M349">
        <v>7</v>
      </c>
    </row>
    <row r="350" spans="1:13" x14ac:dyDescent="0.3">
      <c r="A350">
        <v>349</v>
      </c>
      <c r="B350">
        <v>19</v>
      </c>
      <c r="C350" t="s">
        <v>13</v>
      </c>
      <c r="D350" t="s">
        <v>14</v>
      </c>
      <c r="E350" t="s">
        <v>55</v>
      </c>
      <c r="F350" t="s">
        <v>197</v>
      </c>
      <c r="G350" t="s">
        <v>17</v>
      </c>
      <c r="H350" t="s">
        <v>26</v>
      </c>
      <c r="I350" t="s">
        <v>198</v>
      </c>
      <c r="J350">
        <v>7</v>
      </c>
      <c r="K350" t="s">
        <v>20</v>
      </c>
      <c r="L350">
        <v>2</v>
      </c>
      <c r="M350">
        <v>5</v>
      </c>
    </row>
    <row r="351" spans="1:13" x14ac:dyDescent="0.3">
      <c r="A351">
        <v>350</v>
      </c>
      <c r="B351">
        <v>21</v>
      </c>
      <c r="C351" t="s">
        <v>21</v>
      </c>
      <c r="D351" t="s">
        <v>22</v>
      </c>
      <c r="E351" t="s">
        <v>39</v>
      </c>
      <c r="F351" t="s">
        <v>114</v>
      </c>
      <c r="G351" t="s">
        <v>17</v>
      </c>
      <c r="H351" t="s">
        <v>18</v>
      </c>
      <c r="I351" t="s">
        <v>127</v>
      </c>
      <c r="J351">
        <v>6</v>
      </c>
      <c r="K351" t="s">
        <v>28</v>
      </c>
      <c r="L351">
        <v>3</v>
      </c>
      <c r="M351">
        <v>7</v>
      </c>
    </row>
    <row r="352" spans="1:13" x14ac:dyDescent="0.3">
      <c r="A352">
        <v>351</v>
      </c>
      <c r="B352">
        <v>20</v>
      </c>
      <c r="C352" t="s">
        <v>13</v>
      </c>
      <c r="D352" t="s">
        <v>14</v>
      </c>
      <c r="E352" t="s">
        <v>58</v>
      </c>
      <c r="F352" t="s">
        <v>85</v>
      </c>
      <c r="G352" t="s">
        <v>31</v>
      </c>
      <c r="H352" t="s">
        <v>18</v>
      </c>
      <c r="I352" t="s">
        <v>38</v>
      </c>
      <c r="J352">
        <v>6</v>
      </c>
      <c r="K352" t="s">
        <v>28</v>
      </c>
      <c r="L352">
        <v>3</v>
      </c>
      <c r="M352">
        <v>7</v>
      </c>
    </row>
    <row r="353" spans="1:13" x14ac:dyDescent="0.3">
      <c r="A353">
        <v>352</v>
      </c>
      <c r="B353">
        <v>22</v>
      </c>
      <c r="C353" t="s">
        <v>21</v>
      </c>
      <c r="D353" t="s">
        <v>22</v>
      </c>
      <c r="E353" t="s">
        <v>73</v>
      </c>
      <c r="F353" t="s">
        <v>64</v>
      </c>
      <c r="G353" t="s">
        <v>41</v>
      </c>
      <c r="H353" t="s">
        <v>26</v>
      </c>
      <c r="I353" t="s">
        <v>201</v>
      </c>
      <c r="J353">
        <v>8</v>
      </c>
      <c r="K353" t="s">
        <v>20</v>
      </c>
      <c r="L353">
        <v>2</v>
      </c>
      <c r="M353">
        <v>4</v>
      </c>
    </row>
    <row r="354" spans="1:13" x14ac:dyDescent="0.3">
      <c r="A354">
        <v>353</v>
      </c>
      <c r="B354">
        <v>19</v>
      </c>
      <c r="C354" t="s">
        <v>13</v>
      </c>
      <c r="D354" t="s">
        <v>14</v>
      </c>
      <c r="E354" t="s">
        <v>91</v>
      </c>
      <c r="F354" t="s">
        <v>123</v>
      </c>
      <c r="G354" t="s">
        <v>17</v>
      </c>
      <c r="H354" t="s">
        <v>18</v>
      </c>
      <c r="I354" t="s">
        <v>83</v>
      </c>
      <c r="J354">
        <v>7</v>
      </c>
      <c r="K354" t="s">
        <v>28</v>
      </c>
      <c r="L354">
        <v>3</v>
      </c>
      <c r="M354">
        <v>6</v>
      </c>
    </row>
    <row r="355" spans="1:13" x14ac:dyDescent="0.3">
      <c r="A355">
        <v>354</v>
      </c>
      <c r="B355">
        <v>21</v>
      </c>
      <c r="C355" t="s">
        <v>21</v>
      </c>
      <c r="D355" t="s">
        <v>22</v>
      </c>
      <c r="E355" t="s">
        <v>23</v>
      </c>
      <c r="F355" t="s">
        <v>92</v>
      </c>
      <c r="G355" t="s">
        <v>214</v>
      </c>
      <c r="H355" t="s">
        <v>18</v>
      </c>
      <c r="I355" t="s">
        <v>57</v>
      </c>
      <c r="J355">
        <v>5</v>
      </c>
      <c r="K355" t="s">
        <v>20</v>
      </c>
      <c r="L355">
        <v>4</v>
      </c>
      <c r="M355">
        <v>8</v>
      </c>
    </row>
    <row r="356" spans="1:13" x14ac:dyDescent="0.3">
      <c r="A356">
        <v>355</v>
      </c>
      <c r="B356">
        <v>20</v>
      </c>
      <c r="C356" t="s">
        <v>13</v>
      </c>
      <c r="D356" t="s">
        <v>14</v>
      </c>
      <c r="E356" t="s">
        <v>81</v>
      </c>
      <c r="F356" t="s">
        <v>103</v>
      </c>
      <c r="G356" t="s">
        <v>17</v>
      </c>
      <c r="H356" t="s">
        <v>26</v>
      </c>
      <c r="I356" t="s">
        <v>202</v>
      </c>
      <c r="J356">
        <v>8</v>
      </c>
      <c r="K356" t="s">
        <v>28</v>
      </c>
      <c r="L356">
        <v>2</v>
      </c>
      <c r="M356">
        <v>4</v>
      </c>
    </row>
    <row r="357" spans="1:13" x14ac:dyDescent="0.3">
      <c r="A357">
        <v>356</v>
      </c>
      <c r="B357">
        <v>22</v>
      </c>
      <c r="C357" t="s">
        <v>21</v>
      </c>
      <c r="D357" t="s">
        <v>22</v>
      </c>
      <c r="E357" t="s">
        <v>109</v>
      </c>
      <c r="F357" t="s">
        <v>16</v>
      </c>
      <c r="G357" t="s">
        <v>31</v>
      </c>
      <c r="H357" t="s">
        <v>18</v>
      </c>
      <c r="I357" t="s">
        <v>38</v>
      </c>
      <c r="J357">
        <v>6</v>
      </c>
      <c r="K357" t="s">
        <v>28</v>
      </c>
      <c r="L357">
        <v>3</v>
      </c>
      <c r="M357">
        <v>7</v>
      </c>
    </row>
    <row r="358" spans="1:13" x14ac:dyDescent="0.3">
      <c r="A358">
        <v>357</v>
      </c>
      <c r="B358">
        <v>19</v>
      </c>
      <c r="C358" t="s">
        <v>13</v>
      </c>
      <c r="D358" t="s">
        <v>14</v>
      </c>
      <c r="E358" t="s">
        <v>29</v>
      </c>
      <c r="F358" t="s">
        <v>127</v>
      </c>
      <c r="G358" t="s">
        <v>17</v>
      </c>
      <c r="H358" t="s">
        <v>18</v>
      </c>
      <c r="I358" t="s">
        <v>16</v>
      </c>
      <c r="J358">
        <v>5</v>
      </c>
      <c r="K358" t="s">
        <v>20</v>
      </c>
      <c r="L358">
        <v>4</v>
      </c>
      <c r="M358">
        <v>9</v>
      </c>
    </row>
    <row r="359" spans="1:13" x14ac:dyDescent="0.3">
      <c r="A359">
        <v>358</v>
      </c>
      <c r="B359">
        <v>21</v>
      </c>
      <c r="C359" t="s">
        <v>21</v>
      </c>
      <c r="D359" t="s">
        <v>22</v>
      </c>
      <c r="E359" t="s">
        <v>62</v>
      </c>
      <c r="F359" t="s">
        <v>78</v>
      </c>
      <c r="G359" t="s">
        <v>214</v>
      </c>
      <c r="H359" t="s">
        <v>18</v>
      </c>
      <c r="I359" t="s">
        <v>132</v>
      </c>
      <c r="J359">
        <v>6</v>
      </c>
      <c r="K359" t="s">
        <v>28</v>
      </c>
      <c r="L359">
        <v>3</v>
      </c>
      <c r="M359">
        <v>7</v>
      </c>
    </row>
    <row r="360" spans="1:13" x14ac:dyDescent="0.3">
      <c r="A360">
        <v>359</v>
      </c>
      <c r="B360">
        <v>20</v>
      </c>
      <c r="C360" t="s">
        <v>13</v>
      </c>
      <c r="D360" t="s">
        <v>14</v>
      </c>
      <c r="E360" t="s">
        <v>55</v>
      </c>
      <c r="F360" t="s">
        <v>67</v>
      </c>
      <c r="G360" t="s">
        <v>17</v>
      </c>
      <c r="H360" t="s">
        <v>26</v>
      </c>
      <c r="I360" t="s">
        <v>70</v>
      </c>
      <c r="J360">
        <v>7</v>
      </c>
      <c r="K360" t="s">
        <v>20</v>
      </c>
      <c r="L360">
        <v>2</v>
      </c>
      <c r="M360">
        <v>5</v>
      </c>
    </row>
    <row r="361" spans="1:13" x14ac:dyDescent="0.3">
      <c r="A361">
        <v>360</v>
      </c>
      <c r="B361">
        <v>22</v>
      </c>
      <c r="C361" t="s">
        <v>21</v>
      </c>
      <c r="D361" t="s">
        <v>22</v>
      </c>
      <c r="E361" t="s">
        <v>39</v>
      </c>
      <c r="F361" t="s">
        <v>32</v>
      </c>
      <c r="G361" t="s">
        <v>31</v>
      </c>
      <c r="H361" t="s">
        <v>18</v>
      </c>
      <c r="I361" t="s">
        <v>43</v>
      </c>
      <c r="J361">
        <v>6</v>
      </c>
      <c r="K361" t="s">
        <v>28</v>
      </c>
      <c r="L361">
        <v>3</v>
      </c>
      <c r="M361">
        <v>7</v>
      </c>
    </row>
    <row r="362" spans="1:13" x14ac:dyDescent="0.3">
      <c r="A362">
        <v>361</v>
      </c>
      <c r="B362">
        <v>19</v>
      </c>
      <c r="C362" t="s">
        <v>13</v>
      </c>
      <c r="D362" t="s">
        <v>14</v>
      </c>
      <c r="E362" t="s">
        <v>58</v>
      </c>
      <c r="F362" t="s">
        <v>56</v>
      </c>
      <c r="G362" t="s">
        <v>17</v>
      </c>
      <c r="H362" t="s">
        <v>18</v>
      </c>
      <c r="I362" t="s">
        <v>127</v>
      </c>
      <c r="J362">
        <v>6</v>
      </c>
      <c r="K362" t="s">
        <v>28</v>
      </c>
      <c r="L362">
        <v>3</v>
      </c>
      <c r="M362">
        <v>7</v>
      </c>
    </row>
    <row r="363" spans="1:13" x14ac:dyDescent="0.3">
      <c r="A363">
        <v>362</v>
      </c>
      <c r="B363">
        <v>21</v>
      </c>
      <c r="C363" t="s">
        <v>21</v>
      </c>
      <c r="D363" t="s">
        <v>22</v>
      </c>
      <c r="E363" t="s">
        <v>73</v>
      </c>
      <c r="F363" t="s">
        <v>103</v>
      </c>
      <c r="G363" t="s">
        <v>41</v>
      </c>
      <c r="H363" t="s">
        <v>26</v>
      </c>
      <c r="I363" t="s">
        <v>202</v>
      </c>
      <c r="J363">
        <v>8</v>
      </c>
      <c r="K363" t="s">
        <v>20</v>
      </c>
      <c r="L363">
        <v>2</v>
      </c>
      <c r="M363">
        <v>4</v>
      </c>
    </row>
    <row r="364" spans="1:13" x14ac:dyDescent="0.3">
      <c r="A364">
        <v>363</v>
      </c>
      <c r="B364">
        <v>20</v>
      </c>
      <c r="C364" t="s">
        <v>13</v>
      </c>
      <c r="D364" t="s">
        <v>14</v>
      </c>
      <c r="E364" t="s">
        <v>91</v>
      </c>
      <c r="F364" t="s">
        <v>40</v>
      </c>
      <c r="G364" t="s">
        <v>31</v>
      </c>
      <c r="H364" t="s">
        <v>18</v>
      </c>
      <c r="I364" t="s">
        <v>100</v>
      </c>
      <c r="J364">
        <v>7</v>
      </c>
      <c r="K364" t="s">
        <v>28</v>
      </c>
      <c r="L364">
        <v>3</v>
      </c>
      <c r="M364">
        <v>6</v>
      </c>
    </row>
    <row r="365" spans="1:13" x14ac:dyDescent="0.3">
      <c r="A365">
        <v>364</v>
      </c>
      <c r="B365">
        <v>22</v>
      </c>
      <c r="C365" t="s">
        <v>21</v>
      </c>
      <c r="D365" t="s">
        <v>22</v>
      </c>
      <c r="E365" t="s">
        <v>23</v>
      </c>
      <c r="F365" t="s">
        <v>57</v>
      </c>
      <c r="G365" t="s">
        <v>214</v>
      </c>
      <c r="H365" t="s">
        <v>18</v>
      </c>
      <c r="I365" t="s">
        <v>92</v>
      </c>
      <c r="J365">
        <v>5</v>
      </c>
      <c r="K365" t="s">
        <v>20</v>
      </c>
      <c r="L365">
        <v>4</v>
      </c>
      <c r="M365">
        <v>8</v>
      </c>
    </row>
    <row r="366" spans="1:13" x14ac:dyDescent="0.3">
      <c r="A366">
        <v>365</v>
      </c>
      <c r="B366">
        <v>19</v>
      </c>
      <c r="C366" t="s">
        <v>13</v>
      </c>
      <c r="D366" t="s">
        <v>14</v>
      </c>
      <c r="E366" t="s">
        <v>81</v>
      </c>
      <c r="F366" t="s">
        <v>74</v>
      </c>
      <c r="G366" t="s">
        <v>17</v>
      </c>
      <c r="H366" t="s">
        <v>26</v>
      </c>
      <c r="I366" t="s">
        <v>203</v>
      </c>
      <c r="J366">
        <v>8</v>
      </c>
      <c r="K366" t="s">
        <v>28</v>
      </c>
      <c r="L366">
        <v>2</v>
      </c>
      <c r="M366">
        <v>4</v>
      </c>
    </row>
    <row r="367" spans="1:13" x14ac:dyDescent="0.3">
      <c r="A367">
        <v>366</v>
      </c>
      <c r="B367">
        <v>21</v>
      </c>
      <c r="C367" t="s">
        <v>21</v>
      </c>
      <c r="D367" t="s">
        <v>22</v>
      </c>
      <c r="E367" t="s">
        <v>109</v>
      </c>
      <c r="F367" t="s">
        <v>114</v>
      </c>
      <c r="G367" t="s">
        <v>17</v>
      </c>
      <c r="H367" t="s">
        <v>18</v>
      </c>
      <c r="I367" t="s">
        <v>127</v>
      </c>
      <c r="J367">
        <v>6</v>
      </c>
      <c r="K367" t="s">
        <v>28</v>
      </c>
      <c r="L367">
        <v>3</v>
      </c>
      <c r="M367">
        <v>7</v>
      </c>
    </row>
    <row r="368" spans="1:13" x14ac:dyDescent="0.3">
      <c r="A368">
        <v>367</v>
      </c>
      <c r="B368">
        <v>20</v>
      </c>
      <c r="C368" t="s">
        <v>13</v>
      </c>
      <c r="D368" t="s">
        <v>14</v>
      </c>
      <c r="E368" t="s">
        <v>29</v>
      </c>
      <c r="F368" t="s">
        <v>43</v>
      </c>
      <c r="G368" t="s">
        <v>31</v>
      </c>
      <c r="H368" t="s">
        <v>18</v>
      </c>
      <c r="I368" t="s">
        <v>114</v>
      </c>
      <c r="J368">
        <v>5</v>
      </c>
      <c r="K368" t="s">
        <v>20</v>
      </c>
      <c r="L368">
        <v>4</v>
      </c>
      <c r="M368">
        <v>9</v>
      </c>
    </row>
    <row r="369" spans="1:13" x14ac:dyDescent="0.3">
      <c r="A369">
        <v>368</v>
      </c>
      <c r="B369">
        <v>22</v>
      </c>
      <c r="C369" t="s">
        <v>21</v>
      </c>
      <c r="D369" t="s">
        <v>22</v>
      </c>
      <c r="E369" t="s">
        <v>62</v>
      </c>
      <c r="F369" t="s">
        <v>30</v>
      </c>
      <c r="G369" t="s">
        <v>214</v>
      </c>
      <c r="H369" t="s">
        <v>18</v>
      </c>
      <c r="I369" t="s">
        <v>57</v>
      </c>
      <c r="J369">
        <v>6</v>
      </c>
      <c r="K369" t="s">
        <v>28</v>
      </c>
      <c r="L369">
        <v>3</v>
      </c>
      <c r="M369">
        <v>7</v>
      </c>
    </row>
    <row r="370" spans="1:13" x14ac:dyDescent="0.3">
      <c r="A370">
        <v>369</v>
      </c>
      <c r="B370">
        <v>19</v>
      </c>
      <c r="C370" t="s">
        <v>13</v>
      </c>
      <c r="D370" t="s">
        <v>14</v>
      </c>
      <c r="E370" t="s">
        <v>55</v>
      </c>
      <c r="F370" t="s">
        <v>199</v>
      </c>
      <c r="G370" t="s">
        <v>17</v>
      </c>
      <c r="H370" t="s">
        <v>26</v>
      </c>
      <c r="I370" t="s">
        <v>200</v>
      </c>
      <c r="J370">
        <v>7</v>
      </c>
      <c r="K370" t="s">
        <v>20</v>
      </c>
      <c r="L370">
        <v>2</v>
      </c>
      <c r="M370">
        <v>5</v>
      </c>
    </row>
    <row r="371" spans="1:13" x14ac:dyDescent="0.3">
      <c r="A371">
        <v>370</v>
      </c>
      <c r="B371">
        <v>21</v>
      </c>
      <c r="C371" t="s">
        <v>21</v>
      </c>
      <c r="D371" t="s">
        <v>22</v>
      </c>
      <c r="E371" t="s">
        <v>39</v>
      </c>
      <c r="F371" t="s">
        <v>85</v>
      </c>
      <c r="G371" t="s">
        <v>17</v>
      </c>
      <c r="H371" t="s">
        <v>18</v>
      </c>
      <c r="I371" t="s">
        <v>83</v>
      </c>
      <c r="J371">
        <v>6</v>
      </c>
      <c r="K371" t="s">
        <v>28</v>
      </c>
      <c r="L371">
        <v>3</v>
      </c>
      <c r="M371">
        <v>7</v>
      </c>
    </row>
    <row r="372" spans="1:13" x14ac:dyDescent="0.3">
      <c r="A372">
        <v>371</v>
      </c>
      <c r="B372">
        <v>20</v>
      </c>
      <c r="C372" t="s">
        <v>13</v>
      </c>
      <c r="D372" t="s">
        <v>14</v>
      </c>
      <c r="E372" t="s">
        <v>58</v>
      </c>
      <c r="F372" t="s">
        <v>77</v>
      </c>
      <c r="G372" t="s">
        <v>31</v>
      </c>
      <c r="H372" t="s">
        <v>18</v>
      </c>
      <c r="I372" t="s">
        <v>43</v>
      </c>
      <c r="J372">
        <v>6</v>
      </c>
      <c r="K372" t="s">
        <v>28</v>
      </c>
      <c r="L372">
        <v>3</v>
      </c>
      <c r="M372">
        <v>7</v>
      </c>
    </row>
    <row r="373" spans="1:13" x14ac:dyDescent="0.3">
      <c r="A373">
        <v>372</v>
      </c>
      <c r="B373">
        <v>22</v>
      </c>
      <c r="C373" t="s">
        <v>21</v>
      </c>
      <c r="D373" t="s">
        <v>22</v>
      </c>
      <c r="E373" t="s">
        <v>73</v>
      </c>
      <c r="F373" t="s">
        <v>74</v>
      </c>
      <c r="G373" t="s">
        <v>41</v>
      </c>
      <c r="H373" t="s">
        <v>26</v>
      </c>
      <c r="I373" t="s">
        <v>203</v>
      </c>
      <c r="J373">
        <v>8</v>
      </c>
      <c r="K373" t="s">
        <v>20</v>
      </c>
      <c r="L373">
        <v>2</v>
      </c>
      <c r="M373">
        <v>4</v>
      </c>
    </row>
    <row r="374" spans="1:13" x14ac:dyDescent="0.3">
      <c r="A374">
        <v>373</v>
      </c>
      <c r="B374">
        <v>19</v>
      </c>
      <c r="C374" t="s">
        <v>13</v>
      </c>
      <c r="D374" t="s">
        <v>14</v>
      </c>
      <c r="E374" t="s">
        <v>91</v>
      </c>
      <c r="F374" t="s">
        <v>97</v>
      </c>
      <c r="G374" t="s">
        <v>17</v>
      </c>
      <c r="H374" t="s">
        <v>18</v>
      </c>
      <c r="I374" t="s">
        <v>27</v>
      </c>
      <c r="J374">
        <v>7</v>
      </c>
      <c r="K374" t="s">
        <v>28</v>
      </c>
      <c r="L374">
        <v>3</v>
      </c>
      <c r="M374">
        <v>6</v>
      </c>
    </row>
    <row r="375" spans="1:13" x14ac:dyDescent="0.3">
      <c r="A375">
        <v>374</v>
      </c>
      <c r="B375">
        <v>21</v>
      </c>
      <c r="C375" t="s">
        <v>21</v>
      </c>
      <c r="D375" t="s">
        <v>22</v>
      </c>
      <c r="E375" t="s">
        <v>23</v>
      </c>
      <c r="F375" t="s">
        <v>132</v>
      </c>
      <c r="G375" t="s">
        <v>214</v>
      </c>
      <c r="H375" t="s">
        <v>18</v>
      </c>
      <c r="I375" t="s">
        <v>30</v>
      </c>
      <c r="J375">
        <v>5</v>
      </c>
      <c r="K375" t="s">
        <v>20</v>
      </c>
      <c r="L375">
        <v>4</v>
      </c>
      <c r="M375">
        <v>8</v>
      </c>
    </row>
    <row r="376" spans="1:13" x14ac:dyDescent="0.3">
      <c r="A376">
        <v>375</v>
      </c>
      <c r="B376">
        <v>20</v>
      </c>
      <c r="C376" t="s">
        <v>13</v>
      </c>
      <c r="D376" t="s">
        <v>14</v>
      </c>
      <c r="E376" t="s">
        <v>81</v>
      </c>
      <c r="F376" t="s">
        <v>206</v>
      </c>
      <c r="G376" t="s">
        <v>17</v>
      </c>
      <c r="H376" t="s">
        <v>26</v>
      </c>
      <c r="I376" t="s">
        <v>204</v>
      </c>
      <c r="J376">
        <v>8</v>
      </c>
      <c r="K376" t="s">
        <v>28</v>
      </c>
      <c r="L376">
        <v>2</v>
      </c>
      <c r="M376">
        <v>4</v>
      </c>
    </row>
    <row r="377" spans="1:13" x14ac:dyDescent="0.3">
      <c r="A377">
        <v>376</v>
      </c>
      <c r="B377">
        <v>22</v>
      </c>
      <c r="C377" t="s">
        <v>21</v>
      </c>
      <c r="D377" t="s">
        <v>22</v>
      </c>
      <c r="E377" t="s">
        <v>109</v>
      </c>
      <c r="F377" t="s">
        <v>32</v>
      </c>
      <c r="G377" t="s">
        <v>31</v>
      </c>
      <c r="H377" t="s">
        <v>18</v>
      </c>
      <c r="I377" t="s">
        <v>43</v>
      </c>
      <c r="J377">
        <v>6</v>
      </c>
      <c r="K377" t="s">
        <v>28</v>
      </c>
      <c r="L377">
        <v>3</v>
      </c>
      <c r="M377">
        <v>7</v>
      </c>
    </row>
    <row r="378" spans="1:13" x14ac:dyDescent="0.3">
      <c r="A378">
        <v>377</v>
      </c>
      <c r="B378">
        <v>19</v>
      </c>
      <c r="C378" t="s">
        <v>13</v>
      </c>
      <c r="D378" t="s">
        <v>14</v>
      </c>
      <c r="E378" t="s">
        <v>29</v>
      </c>
      <c r="F378" t="s">
        <v>83</v>
      </c>
      <c r="G378" t="s">
        <v>17</v>
      </c>
      <c r="H378" t="s">
        <v>18</v>
      </c>
      <c r="I378" t="s">
        <v>32</v>
      </c>
      <c r="J378">
        <v>5</v>
      </c>
      <c r="K378" t="s">
        <v>20</v>
      </c>
      <c r="L378">
        <v>4</v>
      </c>
      <c r="M378">
        <v>9</v>
      </c>
    </row>
    <row r="379" spans="1:13" x14ac:dyDescent="0.3">
      <c r="A379">
        <v>378</v>
      </c>
      <c r="B379">
        <v>21</v>
      </c>
      <c r="C379" t="s">
        <v>21</v>
      </c>
      <c r="D379" t="s">
        <v>22</v>
      </c>
      <c r="E379" t="s">
        <v>62</v>
      </c>
      <c r="F379" t="s">
        <v>92</v>
      </c>
      <c r="G379" t="s">
        <v>214</v>
      </c>
      <c r="H379" t="s">
        <v>18</v>
      </c>
      <c r="I379" t="s">
        <v>92</v>
      </c>
      <c r="J379">
        <v>6</v>
      </c>
      <c r="K379" t="s">
        <v>28</v>
      </c>
      <c r="L379">
        <v>3</v>
      </c>
      <c r="M379">
        <v>7</v>
      </c>
    </row>
    <row r="380" spans="1:13" x14ac:dyDescent="0.3">
      <c r="A380">
        <v>379</v>
      </c>
      <c r="B380">
        <v>20</v>
      </c>
      <c r="C380" t="s">
        <v>13</v>
      </c>
      <c r="D380" t="s">
        <v>14</v>
      </c>
      <c r="E380" t="s">
        <v>55</v>
      </c>
      <c r="F380" t="s">
        <v>52</v>
      </c>
      <c r="G380" t="s">
        <v>17</v>
      </c>
      <c r="H380" t="s">
        <v>26</v>
      </c>
      <c r="I380" t="s">
        <v>47</v>
      </c>
      <c r="J380">
        <v>7</v>
      </c>
      <c r="K380" t="s">
        <v>20</v>
      </c>
      <c r="L380">
        <v>2</v>
      </c>
      <c r="M380">
        <v>5</v>
      </c>
    </row>
    <row r="381" spans="1:13" x14ac:dyDescent="0.3">
      <c r="A381">
        <v>380</v>
      </c>
      <c r="B381">
        <v>22</v>
      </c>
      <c r="C381" t="s">
        <v>21</v>
      </c>
      <c r="D381" t="s">
        <v>22</v>
      </c>
      <c r="E381" t="s">
        <v>39</v>
      </c>
      <c r="F381" t="s">
        <v>56</v>
      </c>
      <c r="G381" t="s">
        <v>31</v>
      </c>
      <c r="H381" t="s">
        <v>18</v>
      </c>
      <c r="I381" t="s">
        <v>100</v>
      </c>
      <c r="J381">
        <v>6</v>
      </c>
      <c r="K381" t="s">
        <v>28</v>
      </c>
      <c r="L381">
        <v>3</v>
      </c>
      <c r="M381">
        <v>7</v>
      </c>
    </row>
    <row r="382" spans="1:13" x14ac:dyDescent="0.3">
      <c r="A382">
        <v>381</v>
      </c>
      <c r="B382">
        <v>19</v>
      </c>
      <c r="C382" t="s">
        <v>13</v>
      </c>
      <c r="D382" t="s">
        <v>14</v>
      </c>
      <c r="E382" t="s">
        <v>58</v>
      </c>
      <c r="F382" t="s">
        <v>123</v>
      </c>
      <c r="G382" t="s">
        <v>17</v>
      </c>
      <c r="H382" t="s">
        <v>18</v>
      </c>
      <c r="I382" t="s">
        <v>83</v>
      </c>
      <c r="J382">
        <v>6</v>
      </c>
      <c r="K382" t="s">
        <v>28</v>
      </c>
      <c r="L382">
        <v>3</v>
      </c>
      <c r="M382">
        <v>7</v>
      </c>
    </row>
    <row r="383" spans="1:13" x14ac:dyDescent="0.3">
      <c r="A383">
        <v>382</v>
      </c>
      <c r="B383">
        <v>21</v>
      </c>
      <c r="C383" t="s">
        <v>21</v>
      </c>
      <c r="D383" t="s">
        <v>22</v>
      </c>
      <c r="E383" t="s">
        <v>73</v>
      </c>
      <c r="F383" t="s">
        <v>206</v>
      </c>
      <c r="G383" t="s">
        <v>41</v>
      </c>
      <c r="H383" t="s">
        <v>26</v>
      </c>
      <c r="I383" t="s">
        <v>204</v>
      </c>
      <c r="J383">
        <v>8</v>
      </c>
      <c r="K383" t="s">
        <v>20</v>
      </c>
      <c r="L383">
        <v>2</v>
      </c>
      <c r="M383">
        <v>4</v>
      </c>
    </row>
    <row r="384" spans="1:13" x14ac:dyDescent="0.3">
      <c r="A384">
        <v>383</v>
      </c>
      <c r="B384">
        <v>20</v>
      </c>
      <c r="C384" t="s">
        <v>13</v>
      </c>
      <c r="D384" t="s">
        <v>14</v>
      </c>
      <c r="E384" t="s">
        <v>91</v>
      </c>
      <c r="F384" t="s">
        <v>197</v>
      </c>
      <c r="G384" t="s">
        <v>31</v>
      </c>
      <c r="H384" t="s">
        <v>18</v>
      </c>
      <c r="I384" t="s">
        <v>196</v>
      </c>
      <c r="J384">
        <v>7</v>
      </c>
      <c r="K384" t="s">
        <v>28</v>
      </c>
      <c r="L384">
        <v>3</v>
      </c>
      <c r="M384">
        <v>6</v>
      </c>
    </row>
    <row r="385" spans="1:13" x14ac:dyDescent="0.3">
      <c r="A385">
        <v>384</v>
      </c>
      <c r="B385">
        <v>22</v>
      </c>
      <c r="C385" t="s">
        <v>21</v>
      </c>
      <c r="D385" t="s">
        <v>22</v>
      </c>
      <c r="E385" t="s">
        <v>23</v>
      </c>
      <c r="F385" t="s">
        <v>134</v>
      </c>
      <c r="G385" t="s">
        <v>214</v>
      </c>
      <c r="H385" t="s">
        <v>18</v>
      </c>
      <c r="I385" t="s">
        <v>78</v>
      </c>
      <c r="J385">
        <v>5</v>
      </c>
      <c r="K385" t="s">
        <v>20</v>
      </c>
      <c r="L385">
        <v>4</v>
      </c>
      <c r="M385">
        <v>8</v>
      </c>
    </row>
    <row r="386" spans="1:13" x14ac:dyDescent="0.3">
      <c r="A386">
        <v>385</v>
      </c>
      <c r="B386">
        <v>19</v>
      </c>
      <c r="C386" t="s">
        <v>13</v>
      </c>
      <c r="D386" t="s">
        <v>14</v>
      </c>
      <c r="E386" t="s">
        <v>81</v>
      </c>
      <c r="F386" t="s">
        <v>54</v>
      </c>
      <c r="G386" t="s">
        <v>17</v>
      </c>
      <c r="H386" t="s">
        <v>26</v>
      </c>
      <c r="I386" t="s">
        <v>205</v>
      </c>
      <c r="J386">
        <v>8</v>
      </c>
      <c r="K386" t="s">
        <v>28</v>
      </c>
      <c r="L386">
        <v>2</v>
      </c>
      <c r="M386">
        <v>4</v>
      </c>
    </row>
    <row r="387" spans="1:13" x14ac:dyDescent="0.3">
      <c r="A387">
        <v>386</v>
      </c>
      <c r="B387">
        <v>21</v>
      </c>
      <c r="C387" t="s">
        <v>21</v>
      </c>
      <c r="D387" t="s">
        <v>22</v>
      </c>
      <c r="E387" t="s">
        <v>109</v>
      </c>
      <c r="F387" t="s">
        <v>85</v>
      </c>
      <c r="G387" t="s">
        <v>17</v>
      </c>
      <c r="H387" t="s">
        <v>18</v>
      </c>
      <c r="I387" t="s">
        <v>83</v>
      </c>
      <c r="J387">
        <v>6</v>
      </c>
      <c r="K387" t="s">
        <v>28</v>
      </c>
      <c r="L387">
        <v>3</v>
      </c>
      <c r="M387">
        <v>7</v>
      </c>
    </row>
    <row r="388" spans="1:13" x14ac:dyDescent="0.3">
      <c r="A388">
        <v>387</v>
      </c>
      <c r="B388">
        <v>20</v>
      </c>
      <c r="C388" t="s">
        <v>13</v>
      </c>
      <c r="D388" t="s">
        <v>14</v>
      </c>
      <c r="E388" t="s">
        <v>29</v>
      </c>
      <c r="F388" t="s">
        <v>100</v>
      </c>
      <c r="G388" t="s">
        <v>31</v>
      </c>
      <c r="H388" t="s">
        <v>18</v>
      </c>
      <c r="I388" t="s">
        <v>85</v>
      </c>
      <c r="J388">
        <v>5</v>
      </c>
      <c r="K388" t="s">
        <v>20</v>
      </c>
      <c r="L388">
        <v>4</v>
      </c>
      <c r="M388">
        <v>9</v>
      </c>
    </row>
    <row r="389" spans="1:13" x14ac:dyDescent="0.3">
      <c r="A389">
        <v>388</v>
      </c>
      <c r="B389">
        <v>22</v>
      </c>
      <c r="C389" t="s">
        <v>21</v>
      </c>
      <c r="D389" t="s">
        <v>22</v>
      </c>
      <c r="E389" t="s">
        <v>62</v>
      </c>
      <c r="F389" t="s">
        <v>57</v>
      </c>
      <c r="G389" t="s">
        <v>214</v>
      </c>
      <c r="H389" t="s">
        <v>18</v>
      </c>
      <c r="I389" t="s">
        <v>30</v>
      </c>
      <c r="J389">
        <v>6</v>
      </c>
      <c r="K389" t="s">
        <v>28</v>
      </c>
      <c r="L389">
        <v>3</v>
      </c>
      <c r="M389">
        <v>7</v>
      </c>
    </row>
    <row r="390" spans="1:13" x14ac:dyDescent="0.3">
      <c r="A390">
        <v>389</v>
      </c>
      <c r="B390">
        <v>19</v>
      </c>
      <c r="C390" t="s">
        <v>13</v>
      </c>
      <c r="D390" t="s">
        <v>14</v>
      </c>
      <c r="E390" t="s">
        <v>55</v>
      </c>
      <c r="F390" t="s">
        <v>116</v>
      </c>
      <c r="G390" t="s">
        <v>17</v>
      </c>
      <c r="H390" t="s">
        <v>26</v>
      </c>
      <c r="I390" t="s">
        <v>201</v>
      </c>
      <c r="J390">
        <v>7</v>
      </c>
      <c r="K390" t="s">
        <v>20</v>
      </c>
      <c r="L390">
        <v>2</v>
      </c>
      <c r="M390">
        <v>5</v>
      </c>
    </row>
    <row r="391" spans="1:13" x14ac:dyDescent="0.3">
      <c r="A391">
        <v>390</v>
      </c>
      <c r="B391">
        <v>21</v>
      </c>
      <c r="C391" t="s">
        <v>21</v>
      </c>
      <c r="D391" t="s">
        <v>22</v>
      </c>
      <c r="E391" t="s">
        <v>39</v>
      </c>
      <c r="F391" t="s">
        <v>77</v>
      </c>
      <c r="G391" t="s">
        <v>17</v>
      </c>
      <c r="H391" t="s">
        <v>18</v>
      </c>
      <c r="I391" t="s">
        <v>27</v>
      </c>
      <c r="J391">
        <v>6</v>
      </c>
      <c r="K391" t="s">
        <v>28</v>
      </c>
      <c r="L391">
        <v>3</v>
      </c>
      <c r="M391">
        <v>7</v>
      </c>
    </row>
    <row r="392" spans="1:13" x14ac:dyDescent="0.3">
      <c r="A392">
        <v>391</v>
      </c>
      <c r="B392">
        <v>20</v>
      </c>
      <c r="C392" t="s">
        <v>13</v>
      </c>
      <c r="D392" t="s">
        <v>14</v>
      </c>
      <c r="E392" t="s">
        <v>58</v>
      </c>
      <c r="F392" t="s">
        <v>40</v>
      </c>
      <c r="G392" t="s">
        <v>31</v>
      </c>
      <c r="H392" t="s">
        <v>18</v>
      </c>
      <c r="I392" t="s">
        <v>100</v>
      </c>
      <c r="J392">
        <v>6</v>
      </c>
      <c r="K392" t="s">
        <v>28</v>
      </c>
      <c r="L392">
        <v>3</v>
      </c>
      <c r="M392">
        <v>7</v>
      </c>
    </row>
    <row r="393" spans="1:13" x14ac:dyDescent="0.3">
      <c r="A393">
        <v>392</v>
      </c>
      <c r="B393">
        <v>22</v>
      </c>
      <c r="C393" t="s">
        <v>21</v>
      </c>
      <c r="D393" t="s">
        <v>22</v>
      </c>
      <c r="E393" t="s">
        <v>73</v>
      </c>
      <c r="F393" t="s">
        <v>54</v>
      </c>
      <c r="G393" t="s">
        <v>41</v>
      </c>
      <c r="H393" t="s">
        <v>26</v>
      </c>
      <c r="I393" t="s">
        <v>205</v>
      </c>
      <c r="J393">
        <v>8</v>
      </c>
      <c r="K393" t="s">
        <v>20</v>
      </c>
      <c r="L393">
        <v>2</v>
      </c>
      <c r="M393">
        <v>4</v>
      </c>
    </row>
    <row r="394" spans="1:13" x14ac:dyDescent="0.3">
      <c r="A394">
        <v>393</v>
      </c>
      <c r="B394">
        <v>19</v>
      </c>
      <c r="C394" t="s">
        <v>13</v>
      </c>
      <c r="D394" t="s">
        <v>14</v>
      </c>
      <c r="E394" t="s">
        <v>91</v>
      </c>
      <c r="F394" t="s">
        <v>67</v>
      </c>
      <c r="G394" t="s">
        <v>17</v>
      </c>
      <c r="H394" t="s">
        <v>18</v>
      </c>
      <c r="I394" t="s">
        <v>198</v>
      </c>
      <c r="J394">
        <v>7</v>
      </c>
      <c r="K394" t="s">
        <v>28</v>
      </c>
      <c r="L394">
        <v>3</v>
      </c>
      <c r="M394">
        <v>6</v>
      </c>
    </row>
    <row r="395" spans="1:13" x14ac:dyDescent="0.3">
      <c r="A395">
        <v>394</v>
      </c>
      <c r="B395">
        <v>21</v>
      </c>
      <c r="C395" t="s">
        <v>21</v>
      </c>
      <c r="D395" t="s">
        <v>22</v>
      </c>
      <c r="E395" t="s">
        <v>23</v>
      </c>
      <c r="F395" t="s">
        <v>19</v>
      </c>
      <c r="G395" t="s">
        <v>214</v>
      </c>
      <c r="H395" t="s">
        <v>18</v>
      </c>
      <c r="I395" t="s">
        <v>49</v>
      </c>
      <c r="J395">
        <v>5</v>
      </c>
      <c r="K395" t="s">
        <v>20</v>
      </c>
      <c r="L395">
        <v>4</v>
      </c>
      <c r="M395">
        <v>8</v>
      </c>
    </row>
    <row r="396" spans="1:13" x14ac:dyDescent="0.3">
      <c r="A396">
        <v>395</v>
      </c>
      <c r="B396">
        <v>20</v>
      </c>
      <c r="C396" t="s">
        <v>13</v>
      </c>
      <c r="D396" t="s">
        <v>14</v>
      </c>
      <c r="E396" t="s">
        <v>81</v>
      </c>
      <c r="F396" t="s">
        <v>89</v>
      </c>
      <c r="G396" t="s">
        <v>17</v>
      </c>
      <c r="H396" t="s">
        <v>26</v>
      </c>
      <c r="I396" t="s">
        <v>207</v>
      </c>
      <c r="J396">
        <v>8</v>
      </c>
      <c r="K396" t="s">
        <v>28</v>
      </c>
      <c r="L396">
        <v>2</v>
      </c>
      <c r="M396">
        <v>4</v>
      </c>
    </row>
    <row r="397" spans="1:13" x14ac:dyDescent="0.3">
      <c r="A397">
        <v>396</v>
      </c>
      <c r="B397">
        <v>22</v>
      </c>
      <c r="C397" t="s">
        <v>21</v>
      </c>
      <c r="D397" t="s">
        <v>22</v>
      </c>
      <c r="E397" t="s">
        <v>109</v>
      </c>
      <c r="F397" t="s">
        <v>56</v>
      </c>
      <c r="G397" t="s">
        <v>31</v>
      </c>
      <c r="H397" t="s">
        <v>18</v>
      </c>
      <c r="I397" t="s">
        <v>100</v>
      </c>
      <c r="J397">
        <v>6</v>
      </c>
      <c r="K397" t="s">
        <v>28</v>
      </c>
      <c r="L397">
        <v>3</v>
      </c>
      <c r="M397">
        <v>7</v>
      </c>
    </row>
    <row r="398" spans="1:13" x14ac:dyDescent="0.3">
      <c r="A398">
        <v>397</v>
      </c>
      <c r="B398">
        <v>19</v>
      </c>
      <c r="C398" t="s">
        <v>13</v>
      </c>
      <c r="D398" t="s">
        <v>14</v>
      </c>
      <c r="E398" t="s">
        <v>29</v>
      </c>
      <c r="F398" t="s">
        <v>27</v>
      </c>
      <c r="G398" t="s">
        <v>17</v>
      </c>
      <c r="H398" t="s">
        <v>18</v>
      </c>
      <c r="I398" t="s">
        <v>56</v>
      </c>
      <c r="J398">
        <v>5</v>
      </c>
      <c r="K398" t="s">
        <v>20</v>
      </c>
      <c r="L398">
        <v>4</v>
      </c>
      <c r="M398">
        <v>9</v>
      </c>
    </row>
    <row r="399" spans="1:13" x14ac:dyDescent="0.3">
      <c r="A399">
        <v>398</v>
      </c>
      <c r="B399">
        <v>21</v>
      </c>
      <c r="C399" t="s">
        <v>21</v>
      </c>
      <c r="D399" t="s">
        <v>22</v>
      </c>
      <c r="E399" t="s">
        <v>62</v>
      </c>
      <c r="F399" t="s">
        <v>132</v>
      </c>
      <c r="G399" t="s">
        <v>214</v>
      </c>
      <c r="H399" t="s">
        <v>18</v>
      </c>
      <c r="I399" t="s">
        <v>78</v>
      </c>
      <c r="J399">
        <v>6</v>
      </c>
      <c r="K399" t="s">
        <v>28</v>
      </c>
      <c r="L399">
        <v>3</v>
      </c>
      <c r="M399">
        <v>7</v>
      </c>
    </row>
    <row r="400" spans="1:13" x14ac:dyDescent="0.3">
      <c r="A400">
        <v>399</v>
      </c>
      <c r="B400">
        <v>20</v>
      </c>
      <c r="C400" t="s">
        <v>13</v>
      </c>
      <c r="D400" t="s">
        <v>14</v>
      </c>
      <c r="E400" t="s">
        <v>55</v>
      </c>
      <c r="F400" t="s">
        <v>94</v>
      </c>
      <c r="G400" t="s">
        <v>17</v>
      </c>
      <c r="H400" t="s">
        <v>26</v>
      </c>
      <c r="I400" t="s">
        <v>202</v>
      </c>
      <c r="J400">
        <v>7</v>
      </c>
      <c r="K400" t="s">
        <v>20</v>
      </c>
      <c r="L400">
        <v>2</v>
      </c>
      <c r="M400">
        <v>5</v>
      </c>
    </row>
    <row r="401" spans="1:13" x14ac:dyDescent="0.3">
      <c r="A401">
        <v>400</v>
      </c>
      <c r="B401">
        <v>22</v>
      </c>
      <c r="C401" t="s">
        <v>21</v>
      </c>
      <c r="D401" t="s">
        <v>22</v>
      </c>
      <c r="E401" t="s">
        <v>39</v>
      </c>
      <c r="F401" t="s">
        <v>123</v>
      </c>
      <c r="G401" t="s">
        <v>31</v>
      </c>
      <c r="H401" t="s">
        <v>18</v>
      </c>
      <c r="I401" t="s">
        <v>196</v>
      </c>
      <c r="J401">
        <v>6</v>
      </c>
      <c r="K401" t="s">
        <v>28</v>
      </c>
      <c r="L401">
        <v>3</v>
      </c>
      <c r="M401">
        <v>7</v>
      </c>
    </row>
    <row r="402" spans="1:13" x14ac:dyDescent="0.3">
      <c r="A402">
        <v>401</v>
      </c>
      <c r="B402">
        <v>19</v>
      </c>
      <c r="C402" t="s">
        <v>13</v>
      </c>
      <c r="D402" t="s">
        <v>14</v>
      </c>
      <c r="E402" t="s">
        <v>58</v>
      </c>
      <c r="F402" t="s">
        <v>97</v>
      </c>
      <c r="G402" t="s">
        <v>17</v>
      </c>
      <c r="H402" t="s">
        <v>18</v>
      </c>
      <c r="I402" t="s">
        <v>27</v>
      </c>
      <c r="J402">
        <v>6</v>
      </c>
      <c r="K402" t="s">
        <v>28</v>
      </c>
      <c r="L402">
        <v>3</v>
      </c>
      <c r="M402">
        <v>7</v>
      </c>
    </row>
    <row r="403" spans="1:13" x14ac:dyDescent="0.3">
      <c r="A403">
        <v>402</v>
      </c>
      <c r="B403">
        <v>21</v>
      </c>
      <c r="C403" t="s">
        <v>21</v>
      </c>
      <c r="D403" t="s">
        <v>22</v>
      </c>
      <c r="E403" t="s">
        <v>73</v>
      </c>
      <c r="F403" t="s">
        <v>89</v>
      </c>
      <c r="G403" t="s">
        <v>41</v>
      </c>
      <c r="H403" t="s">
        <v>26</v>
      </c>
      <c r="I403" t="s">
        <v>207</v>
      </c>
      <c r="J403">
        <v>8</v>
      </c>
      <c r="K403" t="s">
        <v>20</v>
      </c>
      <c r="L403">
        <v>2</v>
      </c>
      <c r="M403">
        <v>4</v>
      </c>
    </row>
    <row r="404" spans="1:13" x14ac:dyDescent="0.3">
      <c r="A404">
        <v>403</v>
      </c>
      <c r="B404">
        <v>20</v>
      </c>
      <c r="C404" t="s">
        <v>13</v>
      </c>
      <c r="D404" t="s">
        <v>14</v>
      </c>
      <c r="E404" t="s">
        <v>91</v>
      </c>
      <c r="F404" t="s">
        <v>199</v>
      </c>
      <c r="G404" t="s">
        <v>31</v>
      </c>
      <c r="H404" t="s">
        <v>18</v>
      </c>
      <c r="I404" t="s">
        <v>70</v>
      </c>
      <c r="J404">
        <v>7</v>
      </c>
      <c r="K404" t="s">
        <v>28</v>
      </c>
      <c r="L404">
        <v>3</v>
      </c>
      <c r="M404">
        <v>6</v>
      </c>
    </row>
    <row r="405" spans="1:13" x14ac:dyDescent="0.3">
      <c r="A405">
        <v>404</v>
      </c>
      <c r="B405">
        <v>22</v>
      </c>
      <c r="C405" t="s">
        <v>21</v>
      </c>
      <c r="D405" t="s">
        <v>22</v>
      </c>
      <c r="E405" t="s">
        <v>23</v>
      </c>
      <c r="F405" t="s">
        <v>95</v>
      </c>
      <c r="G405" t="s">
        <v>214</v>
      </c>
      <c r="H405" t="s">
        <v>18</v>
      </c>
      <c r="I405" t="s">
        <v>72</v>
      </c>
      <c r="J405">
        <v>5</v>
      </c>
      <c r="K405" t="s">
        <v>20</v>
      </c>
      <c r="L405">
        <v>4</v>
      </c>
      <c r="M405">
        <v>8</v>
      </c>
    </row>
    <row r="406" spans="1:13" x14ac:dyDescent="0.3">
      <c r="A406">
        <v>405</v>
      </c>
      <c r="B406">
        <v>19</v>
      </c>
      <c r="C406" t="s">
        <v>13</v>
      </c>
      <c r="D406" t="s">
        <v>14</v>
      </c>
      <c r="E406" t="s">
        <v>81</v>
      </c>
      <c r="F406" t="s">
        <v>112</v>
      </c>
      <c r="G406" t="s">
        <v>17</v>
      </c>
      <c r="H406" t="s">
        <v>26</v>
      </c>
      <c r="I406" t="s">
        <v>208</v>
      </c>
      <c r="J406">
        <v>8</v>
      </c>
      <c r="K406" t="s">
        <v>28</v>
      </c>
      <c r="L406">
        <v>2</v>
      </c>
      <c r="M406">
        <v>4</v>
      </c>
    </row>
    <row r="407" spans="1:13" x14ac:dyDescent="0.3">
      <c r="A407">
        <v>406</v>
      </c>
      <c r="B407">
        <v>21</v>
      </c>
      <c r="C407" t="s">
        <v>21</v>
      </c>
      <c r="D407" t="s">
        <v>22</v>
      </c>
      <c r="E407" t="s">
        <v>109</v>
      </c>
      <c r="F407" t="s">
        <v>77</v>
      </c>
      <c r="G407" t="s">
        <v>17</v>
      </c>
      <c r="H407" t="s">
        <v>18</v>
      </c>
      <c r="I407" t="s">
        <v>27</v>
      </c>
      <c r="J407">
        <v>6</v>
      </c>
      <c r="K407" t="s">
        <v>28</v>
      </c>
      <c r="L407">
        <v>3</v>
      </c>
      <c r="M407">
        <v>7</v>
      </c>
    </row>
    <row r="408" spans="1:13" x14ac:dyDescent="0.3">
      <c r="A408">
        <v>407</v>
      </c>
      <c r="B408">
        <v>20</v>
      </c>
      <c r="C408" t="s">
        <v>13</v>
      </c>
      <c r="D408" t="s">
        <v>14</v>
      </c>
      <c r="E408" t="s">
        <v>29</v>
      </c>
      <c r="F408" t="s">
        <v>196</v>
      </c>
      <c r="G408" t="s">
        <v>31</v>
      </c>
      <c r="H408" t="s">
        <v>18</v>
      </c>
      <c r="I408" t="s">
        <v>77</v>
      </c>
      <c r="J408">
        <v>5</v>
      </c>
      <c r="K408" t="s">
        <v>20</v>
      </c>
      <c r="L408">
        <v>4</v>
      </c>
      <c r="M408">
        <v>9</v>
      </c>
    </row>
    <row r="409" spans="1:13" x14ac:dyDescent="0.3">
      <c r="A409">
        <v>408</v>
      </c>
      <c r="B409">
        <v>22</v>
      </c>
      <c r="C409" t="s">
        <v>21</v>
      </c>
      <c r="D409" t="s">
        <v>22</v>
      </c>
      <c r="E409" t="s">
        <v>62</v>
      </c>
      <c r="F409" t="s">
        <v>134</v>
      </c>
      <c r="G409" t="s">
        <v>214</v>
      </c>
      <c r="H409" t="s">
        <v>18</v>
      </c>
      <c r="I409" t="s">
        <v>49</v>
      </c>
      <c r="J409">
        <v>6</v>
      </c>
      <c r="K409" t="s">
        <v>28</v>
      </c>
      <c r="L409">
        <v>3</v>
      </c>
      <c r="M409">
        <v>7</v>
      </c>
    </row>
    <row r="410" spans="1:13" x14ac:dyDescent="0.3">
      <c r="A410">
        <v>409</v>
      </c>
      <c r="B410">
        <v>19</v>
      </c>
      <c r="C410" t="s">
        <v>13</v>
      </c>
      <c r="D410" t="s">
        <v>14</v>
      </c>
      <c r="E410" t="s">
        <v>55</v>
      </c>
      <c r="F410" t="s">
        <v>64</v>
      </c>
      <c r="G410" t="s">
        <v>17</v>
      </c>
      <c r="H410" t="s">
        <v>26</v>
      </c>
      <c r="I410" t="s">
        <v>203</v>
      </c>
      <c r="J410">
        <v>7</v>
      </c>
      <c r="K410" t="s">
        <v>20</v>
      </c>
      <c r="L410">
        <v>2</v>
      </c>
      <c r="M410">
        <v>5</v>
      </c>
    </row>
    <row r="411" spans="1:13" x14ac:dyDescent="0.3">
      <c r="A411">
        <v>410</v>
      </c>
      <c r="B411">
        <v>21</v>
      </c>
      <c r="C411" t="s">
        <v>21</v>
      </c>
      <c r="D411" t="s">
        <v>22</v>
      </c>
      <c r="E411" t="s">
        <v>39</v>
      </c>
      <c r="F411" t="s">
        <v>40</v>
      </c>
      <c r="G411" t="s">
        <v>17</v>
      </c>
      <c r="H411" t="s">
        <v>18</v>
      </c>
      <c r="I411" t="s">
        <v>198</v>
      </c>
      <c r="J411">
        <v>6</v>
      </c>
      <c r="K411" t="s">
        <v>28</v>
      </c>
      <c r="L411">
        <v>3</v>
      </c>
      <c r="M411">
        <v>7</v>
      </c>
    </row>
    <row r="412" spans="1:13" x14ac:dyDescent="0.3">
      <c r="A412">
        <v>411</v>
      </c>
      <c r="B412">
        <v>20</v>
      </c>
      <c r="C412" t="s">
        <v>13</v>
      </c>
      <c r="D412" t="s">
        <v>14</v>
      </c>
      <c r="E412" t="s">
        <v>58</v>
      </c>
      <c r="F412" t="s">
        <v>197</v>
      </c>
      <c r="G412" t="s">
        <v>31</v>
      </c>
      <c r="H412" t="s">
        <v>18</v>
      </c>
      <c r="I412" t="s">
        <v>196</v>
      </c>
      <c r="J412">
        <v>6</v>
      </c>
      <c r="K412" t="s">
        <v>28</v>
      </c>
      <c r="L412">
        <v>3</v>
      </c>
      <c r="M412">
        <v>7</v>
      </c>
    </row>
    <row r="413" spans="1:13" x14ac:dyDescent="0.3">
      <c r="A413">
        <v>412</v>
      </c>
      <c r="B413">
        <v>22</v>
      </c>
      <c r="C413" t="s">
        <v>21</v>
      </c>
      <c r="D413" t="s">
        <v>22</v>
      </c>
      <c r="E413" t="s">
        <v>73</v>
      </c>
      <c r="F413" t="s">
        <v>112</v>
      </c>
      <c r="G413" t="s">
        <v>41</v>
      </c>
      <c r="H413" t="s">
        <v>26</v>
      </c>
      <c r="I413" t="s">
        <v>208</v>
      </c>
      <c r="J413">
        <v>8</v>
      </c>
      <c r="K413" t="s">
        <v>20</v>
      </c>
      <c r="L413">
        <v>2</v>
      </c>
      <c r="M413">
        <v>4</v>
      </c>
    </row>
    <row r="414" spans="1:13" x14ac:dyDescent="0.3">
      <c r="A414">
        <v>413</v>
      </c>
      <c r="B414">
        <v>19</v>
      </c>
      <c r="C414" t="s">
        <v>13</v>
      </c>
      <c r="D414" t="s">
        <v>14</v>
      </c>
      <c r="E414" t="s">
        <v>91</v>
      </c>
      <c r="F414" t="s">
        <v>52</v>
      </c>
      <c r="G414" t="s">
        <v>17</v>
      </c>
      <c r="H414" t="s">
        <v>18</v>
      </c>
      <c r="I414" t="s">
        <v>200</v>
      </c>
      <c r="J414">
        <v>7</v>
      </c>
      <c r="K414" t="s">
        <v>28</v>
      </c>
      <c r="L414">
        <v>3</v>
      </c>
      <c r="M414">
        <v>6</v>
      </c>
    </row>
    <row r="415" spans="1:13" x14ac:dyDescent="0.3">
      <c r="A415">
        <v>414</v>
      </c>
      <c r="B415">
        <v>21</v>
      </c>
      <c r="C415" t="s">
        <v>21</v>
      </c>
      <c r="D415" t="s">
        <v>22</v>
      </c>
      <c r="E415" t="s">
        <v>23</v>
      </c>
      <c r="F415" t="s">
        <v>75</v>
      </c>
      <c r="G415" t="s">
        <v>214</v>
      </c>
      <c r="H415" t="s">
        <v>18</v>
      </c>
      <c r="I415" t="s">
        <v>110</v>
      </c>
      <c r="J415">
        <v>5</v>
      </c>
      <c r="K415" t="s">
        <v>20</v>
      </c>
      <c r="L415">
        <v>4</v>
      </c>
      <c r="M415">
        <v>8</v>
      </c>
    </row>
    <row r="416" spans="1:13" x14ac:dyDescent="0.3">
      <c r="A416">
        <v>415</v>
      </c>
      <c r="B416">
        <v>20</v>
      </c>
      <c r="C416" t="s">
        <v>13</v>
      </c>
      <c r="D416" t="s">
        <v>14</v>
      </c>
      <c r="E416" t="s">
        <v>81</v>
      </c>
      <c r="F416" t="s">
        <v>36</v>
      </c>
      <c r="G416" t="s">
        <v>17</v>
      </c>
      <c r="H416" t="s">
        <v>26</v>
      </c>
      <c r="I416" t="s">
        <v>209</v>
      </c>
      <c r="J416">
        <v>8</v>
      </c>
      <c r="K416" t="s">
        <v>28</v>
      </c>
      <c r="L416">
        <v>2</v>
      </c>
      <c r="M416">
        <v>4</v>
      </c>
    </row>
    <row r="417" spans="1:13" x14ac:dyDescent="0.3">
      <c r="A417">
        <v>416</v>
      </c>
      <c r="B417">
        <v>22</v>
      </c>
      <c r="C417" t="s">
        <v>21</v>
      </c>
      <c r="D417" t="s">
        <v>22</v>
      </c>
      <c r="E417" t="s">
        <v>109</v>
      </c>
      <c r="F417" t="s">
        <v>123</v>
      </c>
      <c r="G417" t="s">
        <v>31</v>
      </c>
      <c r="H417" t="s">
        <v>18</v>
      </c>
      <c r="I417" t="s">
        <v>196</v>
      </c>
      <c r="J417">
        <v>6</v>
      </c>
      <c r="K417" t="s">
        <v>28</v>
      </c>
      <c r="L417">
        <v>3</v>
      </c>
      <c r="M417">
        <v>7</v>
      </c>
    </row>
    <row r="418" spans="1:13" x14ac:dyDescent="0.3">
      <c r="A418">
        <v>417</v>
      </c>
      <c r="B418">
        <v>19</v>
      </c>
      <c r="C418" t="s">
        <v>13</v>
      </c>
      <c r="D418" t="s">
        <v>14</v>
      </c>
      <c r="E418" t="s">
        <v>29</v>
      </c>
      <c r="F418" t="s">
        <v>198</v>
      </c>
      <c r="G418" t="s">
        <v>17</v>
      </c>
      <c r="H418" t="s">
        <v>18</v>
      </c>
      <c r="I418" t="s">
        <v>123</v>
      </c>
      <c r="J418">
        <v>5</v>
      </c>
      <c r="K418" t="s">
        <v>20</v>
      </c>
      <c r="L418">
        <v>4</v>
      </c>
      <c r="M418">
        <v>9</v>
      </c>
    </row>
    <row r="419" spans="1:13" x14ac:dyDescent="0.3">
      <c r="A419">
        <v>418</v>
      </c>
      <c r="B419">
        <v>21</v>
      </c>
      <c r="C419" t="s">
        <v>21</v>
      </c>
      <c r="D419" t="s">
        <v>22</v>
      </c>
      <c r="E419" t="s">
        <v>62</v>
      </c>
      <c r="F419" t="s">
        <v>19</v>
      </c>
      <c r="G419" t="s">
        <v>214</v>
      </c>
      <c r="H419" t="s">
        <v>18</v>
      </c>
      <c r="I419" t="s">
        <v>72</v>
      </c>
      <c r="J419">
        <v>6</v>
      </c>
      <c r="K419" t="s">
        <v>28</v>
      </c>
      <c r="L419">
        <v>3</v>
      </c>
      <c r="M419">
        <v>7</v>
      </c>
    </row>
    <row r="420" spans="1:13" x14ac:dyDescent="0.3">
      <c r="A420">
        <v>419</v>
      </c>
      <c r="B420">
        <v>20</v>
      </c>
      <c r="C420" t="s">
        <v>13</v>
      </c>
      <c r="D420" t="s">
        <v>14</v>
      </c>
      <c r="E420" t="s">
        <v>55</v>
      </c>
      <c r="F420" t="s">
        <v>103</v>
      </c>
      <c r="G420" t="s">
        <v>17</v>
      </c>
      <c r="H420" t="s">
        <v>26</v>
      </c>
      <c r="I420" t="s">
        <v>204</v>
      </c>
      <c r="J420">
        <v>7</v>
      </c>
      <c r="K420" t="s">
        <v>20</v>
      </c>
      <c r="L420">
        <v>2</v>
      </c>
      <c r="M420">
        <v>5</v>
      </c>
    </row>
    <row r="421" spans="1:13" x14ac:dyDescent="0.3">
      <c r="A421">
        <v>420</v>
      </c>
      <c r="B421">
        <v>22</v>
      </c>
      <c r="C421" t="s">
        <v>21</v>
      </c>
      <c r="D421" t="s">
        <v>22</v>
      </c>
      <c r="E421" t="s">
        <v>39</v>
      </c>
      <c r="F421" t="s">
        <v>97</v>
      </c>
      <c r="G421" t="s">
        <v>31</v>
      </c>
      <c r="H421" t="s">
        <v>18</v>
      </c>
      <c r="I421" t="s">
        <v>70</v>
      </c>
      <c r="J421">
        <v>6</v>
      </c>
      <c r="K421" t="s">
        <v>28</v>
      </c>
      <c r="L421">
        <v>3</v>
      </c>
      <c r="M421">
        <v>7</v>
      </c>
    </row>
    <row r="422" spans="1:13" x14ac:dyDescent="0.3">
      <c r="A422">
        <v>421</v>
      </c>
      <c r="B422">
        <v>19</v>
      </c>
      <c r="C422" t="s">
        <v>13</v>
      </c>
      <c r="D422" t="s">
        <v>14</v>
      </c>
      <c r="E422" t="s">
        <v>58</v>
      </c>
      <c r="F422" t="s">
        <v>67</v>
      </c>
      <c r="G422" t="s">
        <v>17</v>
      </c>
      <c r="H422" t="s">
        <v>18</v>
      </c>
      <c r="I422" t="s">
        <v>198</v>
      </c>
      <c r="J422">
        <v>6</v>
      </c>
      <c r="K422" t="s">
        <v>28</v>
      </c>
      <c r="L422">
        <v>3</v>
      </c>
      <c r="M422">
        <v>7</v>
      </c>
    </row>
    <row r="423" spans="1:13" x14ac:dyDescent="0.3">
      <c r="A423">
        <v>422</v>
      </c>
      <c r="B423">
        <v>21</v>
      </c>
      <c r="C423" t="s">
        <v>21</v>
      </c>
      <c r="D423" t="s">
        <v>22</v>
      </c>
      <c r="E423" t="s">
        <v>73</v>
      </c>
      <c r="F423" t="s">
        <v>36</v>
      </c>
      <c r="G423" t="s">
        <v>41</v>
      </c>
      <c r="H423" t="s">
        <v>26</v>
      </c>
      <c r="I423" t="s">
        <v>209</v>
      </c>
      <c r="J423">
        <v>8</v>
      </c>
      <c r="K423" t="s">
        <v>20</v>
      </c>
      <c r="L423">
        <v>2</v>
      </c>
      <c r="M423">
        <v>4</v>
      </c>
    </row>
    <row r="424" spans="1:13" x14ac:dyDescent="0.3">
      <c r="A424">
        <v>423</v>
      </c>
      <c r="B424">
        <v>20</v>
      </c>
      <c r="C424" t="s">
        <v>13</v>
      </c>
      <c r="D424" t="s">
        <v>14</v>
      </c>
      <c r="E424" t="s">
        <v>91</v>
      </c>
      <c r="F424" t="s">
        <v>116</v>
      </c>
      <c r="G424" t="s">
        <v>31</v>
      </c>
      <c r="H424" t="s">
        <v>18</v>
      </c>
      <c r="I424" t="s">
        <v>47</v>
      </c>
      <c r="J424">
        <v>7</v>
      </c>
      <c r="K424" t="s">
        <v>28</v>
      </c>
      <c r="L424">
        <v>3</v>
      </c>
      <c r="M424">
        <v>6</v>
      </c>
    </row>
    <row r="425" spans="1:13" x14ac:dyDescent="0.3">
      <c r="A425">
        <v>424</v>
      </c>
      <c r="B425">
        <v>22</v>
      </c>
      <c r="C425" t="s">
        <v>21</v>
      </c>
      <c r="D425" t="s">
        <v>22</v>
      </c>
      <c r="E425" t="s">
        <v>23</v>
      </c>
      <c r="F425" t="s">
        <v>65</v>
      </c>
      <c r="G425" t="s">
        <v>214</v>
      </c>
      <c r="H425" t="s">
        <v>18</v>
      </c>
      <c r="I425" t="s">
        <v>59</v>
      </c>
      <c r="J425">
        <v>5</v>
      </c>
      <c r="K425" t="s">
        <v>20</v>
      </c>
      <c r="L425">
        <v>4</v>
      </c>
      <c r="M425">
        <v>8</v>
      </c>
    </row>
    <row r="426" spans="1:13" x14ac:dyDescent="0.3">
      <c r="A426">
        <v>425</v>
      </c>
      <c r="B426">
        <v>19</v>
      </c>
      <c r="C426" t="s">
        <v>13</v>
      </c>
      <c r="D426" t="s">
        <v>14</v>
      </c>
      <c r="E426" t="s">
        <v>81</v>
      </c>
      <c r="F426" t="s">
        <v>163</v>
      </c>
      <c r="G426" t="s">
        <v>17</v>
      </c>
      <c r="H426" t="s">
        <v>26</v>
      </c>
      <c r="I426" t="s">
        <v>210</v>
      </c>
      <c r="J426">
        <v>8</v>
      </c>
      <c r="K426" t="s">
        <v>28</v>
      </c>
      <c r="L426">
        <v>2</v>
      </c>
      <c r="M426">
        <v>4</v>
      </c>
    </row>
    <row r="427" spans="1:13" x14ac:dyDescent="0.3">
      <c r="A427">
        <v>426</v>
      </c>
      <c r="B427">
        <v>21</v>
      </c>
      <c r="C427" t="s">
        <v>21</v>
      </c>
      <c r="D427" t="s">
        <v>22</v>
      </c>
      <c r="E427" t="s">
        <v>109</v>
      </c>
      <c r="F427" t="s">
        <v>40</v>
      </c>
      <c r="G427" t="s">
        <v>17</v>
      </c>
      <c r="H427" t="s">
        <v>18</v>
      </c>
      <c r="I427" t="s">
        <v>198</v>
      </c>
      <c r="J427">
        <v>6</v>
      </c>
      <c r="K427" t="s">
        <v>28</v>
      </c>
      <c r="L427">
        <v>3</v>
      </c>
      <c r="M427">
        <v>7</v>
      </c>
    </row>
    <row r="428" spans="1:13" x14ac:dyDescent="0.3">
      <c r="A428">
        <v>427</v>
      </c>
      <c r="B428">
        <v>20</v>
      </c>
      <c r="C428" t="s">
        <v>13</v>
      </c>
      <c r="D428" t="s">
        <v>14</v>
      </c>
      <c r="E428" t="s">
        <v>29</v>
      </c>
      <c r="F428" t="s">
        <v>70</v>
      </c>
      <c r="G428" t="s">
        <v>31</v>
      </c>
      <c r="H428" t="s">
        <v>18</v>
      </c>
      <c r="I428" t="s">
        <v>40</v>
      </c>
      <c r="J428">
        <v>5</v>
      </c>
      <c r="K428" t="s">
        <v>20</v>
      </c>
      <c r="L428">
        <v>4</v>
      </c>
      <c r="M428">
        <v>9</v>
      </c>
    </row>
    <row r="429" spans="1:13" x14ac:dyDescent="0.3">
      <c r="A429">
        <v>428</v>
      </c>
      <c r="B429">
        <v>22</v>
      </c>
      <c r="C429" t="s">
        <v>21</v>
      </c>
      <c r="D429" t="s">
        <v>22</v>
      </c>
      <c r="E429" t="s">
        <v>62</v>
      </c>
      <c r="F429" t="s">
        <v>95</v>
      </c>
      <c r="G429" t="s">
        <v>214</v>
      </c>
      <c r="H429" t="s">
        <v>18</v>
      </c>
      <c r="I429" t="s">
        <v>110</v>
      </c>
      <c r="J429">
        <v>6</v>
      </c>
      <c r="K429" t="s">
        <v>28</v>
      </c>
      <c r="L429">
        <v>3</v>
      </c>
      <c r="M429">
        <v>7</v>
      </c>
    </row>
    <row r="430" spans="1:13" x14ac:dyDescent="0.3">
      <c r="A430">
        <v>429</v>
      </c>
      <c r="B430">
        <v>19</v>
      </c>
      <c r="C430" t="s">
        <v>13</v>
      </c>
      <c r="D430" t="s">
        <v>14</v>
      </c>
      <c r="E430" t="s">
        <v>55</v>
      </c>
      <c r="F430" t="s">
        <v>74</v>
      </c>
      <c r="G430" t="s">
        <v>17</v>
      </c>
      <c r="H430" t="s">
        <v>26</v>
      </c>
      <c r="I430" t="s">
        <v>205</v>
      </c>
      <c r="J430">
        <v>7</v>
      </c>
      <c r="K430" t="s">
        <v>20</v>
      </c>
      <c r="L430">
        <v>2</v>
      </c>
      <c r="M430">
        <v>5</v>
      </c>
    </row>
    <row r="431" spans="1:13" x14ac:dyDescent="0.3">
      <c r="A431">
        <v>430</v>
      </c>
      <c r="B431">
        <v>21</v>
      </c>
      <c r="C431" t="s">
        <v>21</v>
      </c>
      <c r="D431" t="s">
        <v>22</v>
      </c>
      <c r="E431" t="s">
        <v>39</v>
      </c>
      <c r="F431" t="s">
        <v>197</v>
      </c>
      <c r="G431" t="s">
        <v>17</v>
      </c>
      <c r="H431" t="s">
        <v>18</v>
      </c>
      <c r="I431" t="s">
        <v>200</v>
      </c>
      <c r="J431">
        <v>6</v>
      </c>
      <c r="K431" t="s">
        <v>28</v>
      </c>
      <c r="L431">
        <v>3</v>
      </c>
      <c r="M431">
        <v>7</v>
      </c>
    </row>
    <row r="432" spans="1:13" x14ac:dyDescent="0.3">
      <c r="A432">
        <v>431</v>
      </c>
      <c r="B432">
        <v>20</v>
      </c>
      <c r="C432" t="s">
        <v>13</v>
      </c>
      <c r="D432" t="s">
        <v>14</v>
      </c>
      <c r="E432" t="s">
        <v>58</v>
      </c>
      <c r="F432" t="s">
        <v>199</v>
      </c>
      <c r="G432" t="s">
        <v>31</v>
      </c>
      <c r="H432" t="s">
        <v>18</v>
      </c>
      <c r="I432" t="s">
        <v>70</v>
      </c>
      <c r="J432">
        <v>6</v>
      </c>
      <c r="K432" t="s">
        <v>28</v>
      </c>
      <c r="L432">
        <v>3</v>
      </c>
      <c r="M432">
        <v>7</v>
      </c>
    </row>
    <row r="433" spans="1:13" x14ac:dyDescent="0.3">
      <c r="A433">
        <v>432</v>
      </c>
      <c r="B433">
        <v>22</v>
      </c>
      <c r="C433" t="s">
        <v>21</v>
      </c>
      <c r="D433" t="s">
        <v>22</v>
      </c>
      <c r="E433" t="s">
        <v>73</v>
      </c>
      <c r="F433" t="s">
        <v>163</v>
      </c>
      <c r="G433" t="s">
        <v>41</v>
      </c>
      <c r="H433" t="s">
        <v>26</v>
      </c>
      <c r="I433" t="s">
        <v>210</v>
      </c>
      <c r="J433">
        <v>8</v>
      </c>
      <c r="K433" t="s">
        <v>20</v>
      </c>
      <c r="L433">
        <v>2</v>
      </c>
      <c r="M433">
        <v>4</v>
      </c>
    </row>
    <row r="434" spans="1:13" x14ac:dyDescent="0.3">
      <c r="A434">
        <v>433</v>
      </c>
      <c r="B434">
        <v>19</v>
      </c>
      <c r="C434" t="s">
        <v>13</v>
      </c>
      <c r="D434" t="s">
        <v>14</v>
      </c>
      <c r="E434" t="s">
        <v>91</v>
      </c>
      <c r="F434" t="s">
        <v>94</v>
      </c>
      <c r="G434" t="s">
        <v>17</v>
      </c>
      <c r="H434" t="s">
        <v>18</v>
      </c>
      <c r="I434" t="s">
        <v>201</v>
      </c>
      <c r="J434">
        <v>7</v>
      </c>
      <c r="K434" t="s">
        <v>28</v>
      </c>
      <c r="L434">
        <v>3</v>
      </c>
      <c r="M434">
        <v>6</v>
      </c>
    </row>
    <row r="435" spans="1:13" x14ac:dyDescent="0.3">
      <c r="A435">
        <v>434</v>
      </c>
      <c r="B435">
        <v>21</v>
      </c>
      <c r="C435" t="s">
        <v>21</v>
      </c>
      <c r="D435" t="s">
        <v>22</v>
      </c>
      <c r="E435" t="s">
        <v>23</v>
      </c>
      <c r="F435" t="s">
        <v>90</v>
      </c>
      <c r="G435" t="s">
        <v>214</v>
      </c>
      <c r="H435" t="s">
        <v>18</v>
      </c>
      <c r="I435" t="s">
        <v>87</v>
      </c>
      <c r="J435">
        <v>5</v>
      </c>
      <c r="K435" t="s">
        <v>20</v>
      </c>
      <c r="L435">
        <v>4</v>
      </c>
      <c r="M435">
        <v>8</v>
      </c>
    </row>
    <row r="436" spans="1:13" x14ac:dyDescent="0.3">
      <c r="A436">
        <v>435</v>
      </c>
      <c r="B436">
        <v>20</v>
      </c>
      <c r="C436" t="s">
        <v>13</v>
      </c>
      <c r="D436" t="s">
        <v>14</v>
      </c>
      <c r="E436" t="s">
        <v>81</v>
      </c>
      <c r="F436" t="s">
        <v>61</v>
      </c>
      <c r="G436" t="s">
        <v>17</v>
      </c>
      <c r="H436" t="s">
        <v>26</v>
      </c>
      <c r="I436" t="s">
        <v>215</v>
      </c>
      <c r="J436">
        <v>8</v>
      </c>
      <c r="K436" t="s">
        <v>28</v>
      </c>
      <c r="L436">
        <v>2</v>
      </c>
      <c r="M436">
        <v>4</v>
      </c>
    </row>
    <row r="437" spans="1:13" x14ac:dyDescent="0.3">
      <c r="A437">
        <v>436</v>
      </c>
      <c r="B437">
        <v>22</v>
      </c>
      <c r="C437" t="s">
        <v>21</v>
      </c>
      <c r="D437" t="s">
        <v>22</v>
      </c>
      <c r="E437" t="s">
        <v>109</v>
      </c>
      <c r="F437" t="s">
        <v>97</v>
      </c>
      <c r="G437" t="s">
        <v>31</v>
      </c>
      <c r="H437" t="s">
        <v>18</v>
      </c>
      <c r="I437" t="s">
        <v>70</v>
      </c>
      <c r="J437">
        <v>6</v>
      </c>
      <c r="K437" t="s">
        <v>28</v>
      </c>
      <c r="L437">
        <v>3</v>
      </c>
      <c r="M437">
        <v>7</v>
      </c>
    </row>
    <row r="438" spans="1:13" x14ac:dyDescent="0.3">
      <c r="A438">
        <v>437</v>
      </c>
      <c r="B438">
        <v>19</v>
      </c>
      <c r="C438" t="s">
        <v>13</v>
      </c>
      <c r="D438" t="s">
        <v>14</v>
      </c>
      <c r="E438" t="s">
        <v>29</v>
      </c>
      <c r="F438" t="s">
        <v>200</v>
      </c>
      <c r="G438" t="s">
        <v>17</v>
      </c>
      <c r="H438" t="s">
        <v>18</v>
      </c>
      <c r="I438" t="s">
        <v>97</v>
      </c>
      <c r="J438">
        <v>5</v>
      </c>
      <c r="K438" t="s">
        <v>20</v>
      </c>
      <c r="L438">
        <v>4</v>
      </c>
      <c r="M438">
        <v>9</v>
      </c>
    </row>
    <row r="439" spans="1:13" x14ac:dyDescent="0.3">
      <c r="A439">
        <v>438</v>
      </c>
      <c r="B439">
        <v>21</v>
      </c>
      <c r="C439" t="s">
        <v>21</v>
      </c>
      <c r="D439" t="s">
        <v>22</v>
      </c>
      <c r="E439" t="s">
        <v>62</v>
      </c>
      <c r="F439" t="s">
        <v>75</v>
      </c>
      <c r="G439" t="s">
        <v>214</v>
      </c>
      <c r="H439" t="s">
        <v>18</v>
      </c>
      <c r="I439" t="s">
        <v>59</v>
      </c>
      <c r="J439">
        <v>6</v>
      </c>
      <c r="K439" t="s">
        <v>28</v>
      </c>
      <c r="L439">
        <v>3</v>
      </c>
      <c r="M439">
        <v>7</v>
      </c>
    </row>
    <row r="440" spans="1:13" x14ac:dyDescent="0.3">
      <c r="A440">
        <v>439</v>
      </c>
      <c r="B440">
        <v>20</v>
      </c>
      <c r="C440" t="s">
        <v>13</v>
      </c>
      <c r="D440" t="s">
        <v>14</v>
      </c>
      <c r="E440" t="s">
        <v>55</v>
      </c>
      <c r="F440" t="s">
        <v>206</v>
      </c>
      <c r="G440" t="s">
        <v>17</v>
      </c>
      <c r="H440" t="s">
        <v>26</v>
      </c>
      <c r="I440" t="s">
        <v>207</v>
      </c>
      <c r="J440">
        <v>7</v>
      </c>
      <c r="K440" t="s">
        <v>20</v>
      </c>
      <c r="L440">
        <v>2</v>
      </c>
      <c r="M440">
        <v>5</v>
      </c>
    </row>
    <row r="441" spans="1:13" x14ac:dyDescent="0.3">
      <c r="A441">
        <v>440</v>
      </c>
      <c r="B441">
        <v>22</v>
      </c>
      <c r="C441" t="s">
        <v>21</v>
      </c>
      <c r="D441" t="s">
        <v>22</v>
      </c>
      <c r="E441" t="s">
        <v>39</v>
      </c>
      <c r="F441" t="s">
        <v>67</v>
      </c>
      <c r="G441" t="s">
        <v>31</v>
      </c>
      <c r="H441" t="s">
        <v>18</v>
      </c>
      <c r="I441" t="s">
        <v>47</v>
      </c>
      <c r="J441">
        <v>6</v>
      </c>
      <c r="K441" t="s">
        <v>28</v>
      </c>
      <c r="L441">
        <v>3</v>
      </c>
      <c r="M441">
        <v>7</v>
      </c>
    </row>
    <row r="442" spans="1:13" x14ac:dyDescent="0.3">
      <c r="A442">
        <v>441</v>
      </c>
      <c r="B442">
        <v>19</v>
      </c>
      <c r="C442" t="s">
        <v>13</v>
      </c>
      <c r="D442" t="s">
        <v>14</v>
      </c>
      <c r="E442" t="s">
        <v>58</v>
      </c>
      <c r="F442" t="s">
        <v>52</v>
      </c>
      <c r="G442" t="s">
        <v>17</v>
      </c>
      <c r="H442" t="s">
        <v>18</v>
      </c>
      <c r="I442" t="s">
        <v>200</v>
      </c>
      <c r="J442">
        <v>6</v>
      </c>
      <c r="K442" t="s">
        <v>28</v>
      </c>
      <c r="L442">
        <v>3</v>
      </c>
      <c r="M442">
        <v>7</v>
      </c>
    </row>
    <row r="443" spans="1:13" x14ac:dyDescent="0.3">
      <c r="A443">
        <v>442</v>
      </c>
      <c r="B443">
        <v>21</v>
      </c>
      <c r="C443" t="s">
        <v>21</v>
      </c>
      <c r="D443" t="s">
        <v>22</v>
      </c>
      <c r="E443" t="s">
        <v>73</v>
      </c>
      <c r="F443" t="s">
        <v>61</v>
      </c>
      <c r="G443" t="s">
        <v>41</v>
      </c>
      <c r="H443" t="s">
        <v>26</v>
      </c>
      <c r="I443" t="s">
        <v>215</v>
      </c>
      <c r="J443">
        <v>8</v>
      </c>
      <c r="K443" t="s">
        <v>20</v>
      </c>
      <c r="L443">
        <v>2</v>
      </c>
      <c r="M443">
        <v>4</v>
      </c>
    </row>
    <row r="444" spans="1:13" x14ac:dyDescent="0.3">
      <c r="A444">
        <v>443</v>
      </c>
      <c r="B444">
        <v>20</v>
      </c>
      <c r="C444" t="s">
        <v>13</v>
      </c>
      <c r="D444" t="s">
        <v>14</v>
      </c>
      <c r="E444" t="s">
        <v>91</v>
      </c>
      <c r="F444" t="s">
        <v>64</v>
      </c>
      <c r="G444" t="s">
        <v>31</v>
      </c>
      <c r="H444" t="s">
        <v>18</v>
      </c>
      <c r="I444" t="s">
        <v>202</v>
      </c>
      <c r="J444">
        <v>7</v>
      </c>
      <c r="K444" t="s">
        <v>28</v>
      </c>
      <c r="L444">
        <v>3</v>
      </c>
      <c r="M444">
        <v>6</v>
      </c>
    </row>
    <row r="445" spans="1:13" x14ac:dyDescent="0.3">
      <c r="A445">
        <v>444</v>
      </c>
      <c r="B445">
        <v>22</v>
      </c>
      <c r="C445" t="s">
        <v>21</v>
      </c>
      <c r="D445" t="s">
        <v>22</v>
      </c>
      <c r="E445" t="s">
        <v>23</v>
      </c>
      <c r="F445" t="s">
        <v>38</v>
      </c>
      <c r="G445" t="s">
        <v>214</v>
      </c>
      <c r="H445" t="s">
        <v>18</v>
      </c>
      <c r="I445" t="s">
        <v>80</v>
      </c>
      <c r="J445">
        <v>5</v>
      </c>
      <c r="K445" t="s">
        <v>20</v>
      </c>
      <c r="L445">
        <v>4</v>
      </c>
      <c r="M445">
        <v>8</v>
      </c>
    </row>
    <row r="446" spans="1:13" x14ac:dyDescent="0.3">
      <c r="A446">
        <v>445</v>
      </c>
      <c r="B446">
        <v>19</v>
      </c>
      <c r="C446" t="s">
        <v>13</v>
      </c>
      <c r="D446" t="s">
        <v>14</v>
      </c>
      <c r="E446" t="s">
        <v>81</v>
      </c>
      <c r="F446" t="s">
        <v>126</v>
      </c>
      <c r="G446" t="s">
        <v>17</v>
      </c>
      <c r="H446" t="s">
        <v>26</v>
      </c>
      <c r="I446" t="s">
        <v>216</v>
      </c>
      <c r="J446">
        <v>8</v>
      </c>
      <c r="K446" t="s">
        <v>28</v>
      </c>
      <c r="L446">
        <v>2</v>
      </c>
      <c r="M446">
        <v>4</v>
      </c>
    </row>
    <row r="447" spans="1:13" x14ac:dyDescent="0.3">
      <c r="A447">
        <v>446</v>
      </c>
      <c r="B447">
        <v>21</v>
      </c>
      <c r="C447" t="s">
        <v>21</v>
      </c>
      <c r="D447" t="s">
        <v>22</v>
      </c>
      <c r="E447" t="s">
        <v>109</v>
      </c>
      <c r="F447" t="s">
        <v>197</v>
      </c>
      <c r="G447" t="s">
        <v>17</v>
      </c>
      <c r="H447" t="s">
        <v>18</v>
      </c>
      <c r="I447" t="s">
        <v>200</v>
      </c>
      <c r="J447">
        <v>6</v>
      </c>
      <c r="K447" t="s">
        <v>28</v>
      </c>
      <c r="L447">
        <v>3</v>
      </c>
      <c r="M447">
        <v>7</v>
      </c>
    </row>
    <row r="448" spans="1:13" x14ac:dyDescent="0.3">
      <c r="A448">
        <v>447</v>
      </c>
      <c r="B448">
        <v>20</v>
      </c>
      <c r="C448" t="s">
        <v>13</v>
      </c>
      <c r="D448" t="s">
        <v>14</v>
      </c>
      <c r="E448" t="s">
        <v>29</v>
      </c>
      <c r="F448" t="s">
        <v>47</v>
      </c>
      <c r="G448" t="s">
        <v>31</v>
      </c>
      <c r="H448" t="s">
        <v>18</v>
      </c>
      <c r="I448" t="s">
        <v>197</v>
      </c>
      <c r="J448">
        <v>5</v>
      </c>
      <c r="K448" t="s">
        <v>20</v>
      </c>
      <c r="L448">
        <v>4</v>
      </c>
      <c r="M448">
        <v>9</v>
      </c>
    </row>
    <row r="449" spans="1:13" x14ac:dyDescent="0.3">
      <c r="A449">
        <v>448</v>
      </c>
      <c r="B449">
        <v>22</v>
      </c>
      <c r="C449" t="s">
        <v>21</v>
      </c>
      <c r="D449" t="s">
        <v>22</v>
      </c>
      <c r="E449" t="s">
        <v>62</v>
      </c>
      <c r="F449" t="s">
        <v>65</v>
      </c>
      <c r="G449" t="s">
        <v>214</v>
      </c>
      <c r="H449" t="s">
        <v>18</v>
      </c>
      <c r="I449" t="s">
        <v>87</v>
      </c>
      <c r="J449">
        <v>6</v>
      </c>
      <c r="K449" t="s">
        <v>28</v>
      </c>
      <c r="L449">
        <v>3</v>
      </c>
      <c r="M449">
        <v>7</v>
      </c>
    </row>
    <row r="450" spans="1:13" x14ac:dyDescent="0.3">
      <c r="A450">
        <v>449</v>
      </c>
      <c r="B450">
        <v>19</v>
      </c>
      <c r="C450" t="s">
        <v>13</v>
      </c>
      <c r="D450" t="s">
        <v>14</v>
      </c>
      <c r="E450" t="s">
        <v>55</v>
      </c>
      <c r="F450" t="s">
        <v>54</v>
      </c>
      <c r="G450" t="s">
        <v>17</v>
      </c>
      <c r="H450" t="s">
        <v>26</v>
      </c>
      <c r="I450" t="s">
        <v>208</v>
      </c>
      <c r="J450">
        <v>7</v>
      </c>
      <c r="K450" t="s">
        <v>20</v>
      </c>
      <c r="L450">
        <v>2</v>
      </c>
      <c r="M450">
        <v>5</v>
      </c>
    </row>
    <row r="451" spans="1:13" x14ac:dyDescent="0.3">
      <c r="A451">
        <v>450</v>
      </c>
      <c r="B451">
        <v>21</v>
      </c>
      <c r="C451" t="s">
        <v>21</v>
      </c>
      <c r="D451" t="s">
        <v>22</v>
      </c>
      <c r="E451" t="s">
        <v>39</v>
      </c>
      <c r="F451" t="s">
        <v>199</v>
      </c>
      <c r="G451" t="s">
        <v>17</v>
      </c>
      <c r="H451" t="s">
        <v>18</v>
      </c>
      <c r="I451" t="s">
        <v>201</v>
      </c>
      <c r="J451">
        <v>6</v>
      </c>
      <c r="K451" t="s">
        <v>28</v>
      </c>
      <c r="L451">
        <v>3</v>
      </c>
      <c r="M451">
        <v>7</v>
      </c>
    </row>
    <row r="452" spans="1:13" x14ac:dyDescent="0.3">
      <c r="A452">
        <v>451</v>
      </c>
      <c r="B452">
        <v>20</v>
      </c>
      <c r="C452" t="s">
        <v>13</v>
      </c>
      <c r="D452" t="s">
        <v>14</v>
      </c>
      <c r="E452" t="s">
        <v>58</v>
      </c>
      <c r="F452" t="s">
        <v>116</v>
      </c>
      <c r="G452" t="s">
        <v>31</v>
      </c>
      <c r="H452" t="s">
        <v>18</v>
      </c>
      <c r="I452" t="s">
        <v>47</v>
      </c>
      <c r="J452">
        <v>6</v>
      </c>
      <c r="K452" t="s">
        <v>28</v>
      </c>
      <c r="L452">
        <v>3</v>
      </c>
      <c r="M452">
        <v>7</v>
      </c>
    </row>
    <row r="453" spans="1:13" x14ac:dyDescent="0.3">
      <c r="A453">
        <v>452</v>
      </c>
      <c r="B453">
        <v>22</v>
      </c>
      <c r="C453" t="s">
        <v>21</v>
      </c>
      <c r="D453" t="s">
        <v>22</v>
      </c>
      <c r="E453" t="s">
        <v>73</v>
      </c>
      <c r="F453" t="s">
        <v>126</v>
      </c>
      <c r="G453" t="s">
        <v>41</v>
      </c>
      <c r="H453" t="s">
        <v>26</v>
      </c>
      <c r="I453" t="s">
        <v>216</v>
      </c>
      <c r="J453">
        <v>8</v>
      </c>
      <c r="K453" t="s">
        <v>20</v>
      </c>
      <c r="L453">
        <v>2</v>
      </c>
      <c r="M453">
        <v>4</v>
      </c>
    </row>
    <row r="454" spans="1:13" x14ac:dyDescent="0.3">
      <c r="A454">
        <v>453</v>
      </c>
      <c r="B454">
        <v>19</v>
      </c>
      <c r="C454" t="s">
        <v>13</v>
      </c>
      <c r="D454" t="s">
        <v>14</v>
      </c>
      <c r="E454" t="s">
        <v>91</v>
      </c>
      <c r="F454" t="s">
        <v>103</v>
      </c>
      <c r="G454" t="s">
        <v>17</v>
      </c>
      <c r="H454" t="s">
        <v>18</v>
      </c>
      <c r="I454" t="s">
        <v>203</v>
      </c>
      <c r="J454">
        <v>7</v>
      </c>
      <c r="K454" t="s">
        <v>28</v>
      </c>
      <c r="L454">
        <v>3</v>
      </c>
      <c r="M454">
        <v>6</v>
      </c>
    </row>
    <row r="455" spans="1:13" x14ac:dyDescent="0.3">
      <c r="A455">
        <v>454</v>
      </c>
      <c r="B455">
        <v>21</v>
      </c>
      <c r="C455" t="s">
        <v>21</v>
      </c>
      <c r="D455" t="s">
        <v>22</v>
      </c>
      <c r="E455" t="s">
        <v>23</v>
      </c>
      <c r="F455" t="s">
        <v>127</v>
      </c>
      <c r="G455" t="s">
        <v>214</v>
      </c>
      <c r="H455" t="s">
        <v>18</v>
      </c>
      <c r="I455" t="s">
        <v>16</v>
      </c>
      <c r="J455">
        <v>5</v>
      </c>
      <c r="K455" t="s">
        <v>20</v>
      </c>
      <c r="L455">
        <v>4</v>
      </c>
      <c r="M455">
        <v>8</v>
      </c>
    </row>
    <row r="456" spans="1:13" x14ac:dyDescent="0.3">
      <c r="A456">
        <v>455</v>
      </c>
      <c r="B456">
        <v>20</v>
      </c>
      <c r="C456" t="s">
        <v>13</v>
      </c>
      <c r="D456" t="s">
        <v>14</v>
      </c>
      <c r="E456" t="s">
        <v>81</v>
      </c>
      <c r="F456" t="s">
        <v>107</v>
      </c>
      <c r="G456" t="s">
        <v>17</v>
      </c>
      <c r="H456" t="s">
        <v>26</v>
      </c>
      <c r="I456" t="s">
        <v>217</v>
      </c>
      <c r="J456">
        <v>8</v>
      </c>
      <c r="K456" t="s">
        <v>28</v>
      </c>
      <c r="L456">
        <v>2</v>
      </c>
      <c r="M456">
        <v>4</v>
      </c>
    </row>
    <row r="457" spans="1:13" x14ac:dyDescent="0.3">
      <c r="A457">
        <v>456</v>
      </c>
      <c r="B457">
        <v>22</v>
      </c>
      <c r="C457" t="s">
        <v>21</v>
      </c>
      <c r="D457" t="s">
        <v>22</v>
      </c>
      <c r="E457" t="s">
        <v>109</v>
      </c>
      <c r="F457" t="s">
        <v>67</v>
      </c>
      <c r="G457" t="s">
        <v>31</v>
      </c>
      <c r="H457" t="s">
        <v>18</v>
      </c>
      <c r="I457" t="s">
        <v>47</v>
      </c>
      <c r="J457">
        <v>6</v>
      </c>
      <c r="K457" t="s">
        <v>28</v>
      </c>
      <c r="L457">
        <v>3</v>
      </c>
      <c r="M457">
        <v>7</v>
      </c>
    </row>
    <row r="458" spans="1:13" x14ac:dyDescent="0.3">
      <c r="A458">
        <v>457</v>
      </c>
      <c r="B458">
        <v>19</v>
      </c>
      <c r="C458" t="s">
        <v>13</v>
      </c>
      <c r="D458" t="s">
        <v>14</v>
      </c>
      <c r="E458" t="s">
        <v>29</v>
      </c>
      <c r="F458" t="s">
        <v>201</v>
      </c>
      <c r="G458" t="s">
        <v>17</v>
      </c>
      <c r="H458" t="s">
        <v>18</v>
      </c>
      <c r="I458" t="s">
        <v>67</v>
      </c>
      <c r="J458">
        <v>5</v>
      </c>
      <c r="K458" t="s">
        <v>20</v>
      </c>
      <c r="L458">
        <v>4</v>
      </c>
      <c r="M458">
        <v>9</v>
      </c>
    </row>
    <row r="459" spans="1:13" x14ac:dyDescent="0.3">
      <c r="A459">
        <v>458</v>
      </c>
      <c r="B459">
        <v>21</v>
      </c>
      <c r="C459" t="s">
        <v>21</v>
      </c>
      <c r="D459" t="s">
        <v>22</v>
      </c>
      <c r="E459" t="s">
        <v>62</v>
      </c>
      <c r="F459" t="s">
        <v>90</v>
      </c>
      <c r="G459" t="s">
        <v>214</v>
      </c>
      <c r="H459" t="s">
        <v>18</v>
      </c>
      <c r="I459" t="s">
        <v>80</v>
      </c>
      <c r="J459">
        <v>6</v>
      </c>
      <c r="K459" t="s">
        <v>28</v>
      </c>
      <c r="L459">
        <v>3</v>
      </c>
      <c r="M459">
        <v>7</v>
      </c>
    </row>
    <row r="460" spans="1:13" x14ac:dyDescent="0.3">
      <c r="A460">
        <v>459</v>
      </c>
      <c r="B460">
        <v>20</v>
      </c>
      <c r="C460" t="s">
        <v>13</v>
      </c>
      <c r="D460" t="s">
        <v>14</v>
      </c>
      <c r="E460" t="s">
        <v>55</v>
      </c>
      <c r="F460" t="s">
        <v>89</v>
      </c>
      <c r="G460" t="s">
        <v>17</v>
      </c>
      <c r="H460" t="s">
        <v>26</v>
      </c>
      <c r="I460" t="s">
        <v>209</v>
      </c>
      <c r="J460">
        <v>7</v>
      </c>
      <c r="K460" t="s">
        <v>20</v>
      </c>
      <c r="L460">
        <v>2</v>
      </c>
      <c r="M460">
        <v>5</v>
      </c>
    </row>
    <row r="461" spans="1:13" x14ac:dyDescent="0.3">
      <c r="A461">
        <v>460</v>
      </c>
      <c r="B461">
        <v>22</v>
      </c>
      <c r="C461" t="s">
        <v>21</v>
      </c>
      <c r="D461" t="s">
        <v>22</v>
      </c>
      <c r="E461" t="s">
        <v>39</v>
      </c>
      <c r="F461" t="s">
        <v>52</v>
      </c>
      <c r="G461" t="s">
        <v>31</v>
      </c>
      <c r="H461" t="s">
        <v>18</v>
      </c>
      <c r="I461" t="s">
        <v>202</v>
      </c>
      <c r="J461">
        <v>6</v>
      </c>
      <c r="K461" t="s">
        <v>28</v>
      </c>
      <c r="L461">
        <v>3</v>
      </c>
      <c r="M461">
        <v>7</v>
      </c>
    </row>
    <row r="462" spans="1:13" x14ac:dyDescent="0.3">
      <c r="A462">
        <v>461</v>
      </c>
      <c r="B462">
        <v>19</v>
      </c>
      <c r="C462" t="s">
        <v>13</v>
      </c>
      <c r="D462" t="s">
        <v>14</v>
      </c>
      <c r="E462" t="s">
        <v>58</v>
      </c>
      <c r="F462" t="s">
        <v>94</v>
      </c>
      <c r="G462" t="s">
        <v>17</v>
      </c>
      <c r="H462" t="s">
        <v>18</v>
      </c>
      <c r="I462" t="s">
        <v>201</v>
      </c>
      <c r="J462">
        <v>6</v>
      </c>
      <c r="K462" t="s">
        <v>28</v>
      </c>
      <c r="L462">
        <v>3</v>
      </c>
      <c r="M462">
        <v>7</v>
      </c>
    </row>
    <row r="463" spans="1:13" x14ac:dyDescent="0.3">
      <c r="A463">
        <v>462</v>
      </c>
      <c r="B463">
        <v>21</v>
      </c>
      <c r="C463" t="s">
        <v>21</v>
      </c>
      <c r="D463" t="s">
        <v>22</v>
      </c>
      <c r="E463" t="s">
        <v>73</v>
      </c>
      <c r="F463" t="s">
        <v>107</v>
      </c>
      <c r="G463" t="s">
        <v>41</v>
      </c>
      <c r="H463" t="s">
        <v>26</v>
      </c>
      <c r="I463" t="s">
        <v>217</v>
      </c>
      <c r="J463">
        <v>8</v>
      </c>
      <c r="K463" t="s">
        <v>20</v>
      </c>
      <c r="L463">
        <v>2</v>
      </c>
      <c r="M463">
        <v>4</v>
      </c>
    </row>
    <row r="464" spans="1:13" x14ac:dyDescent="0.3">
      <c r="A464">
        <v>463</v>
      </c>
      <c r="B464">
        <v>20</v>
      </c>
      <c r="C464" t="s">
        <v>13</v>
      </c>
      <c r="D464" t="s">
        <v>14</v>
      </c>
      <c r="E464" t="s">
        <v>91</v>
      </c>
      <c r="F464" t="s">
        <v>74</v>
      </c>
      <c r="G464" t="s">
        <v>31</v>
      </c>
      <c r="H464" t="s">
        <v>18</v>
      </c>
      <c r="I464" t="s">
        <v>204</v>
      </c>
      <c r="J464">
        <v>7</v>
      </c>
      <c r="K464" t="s">
        <v>28</v>
      </c>
      <c r="L464">
        <v>3</v>
      </c>
      <c r="M464">
        <v>6</v>
      </c>
    </row>
    <row r="465" spans="1:13" x14ac:dyDescent="0.3">
      <c r="A465">
        <v>464</v>
      </c>
      <c r="B465">
        <v>22</v>
      </c>
      <c r="C465" t="s">
        <v>21</v>
      </c>
      <c r="D465" t="s">
        <v>22</v>
      </c>
      <c r="E465" t="s">
        <v>23</v>
      </c>
      <c r="F465" t="s">
        <v>43</v>
      </c>
      <c r="G465" t="s">
        <v>214</v>
      </c>
      <c r="H465" t="s">
        <v>18</v>
      </c>
      <c r="I465" t="s">
        <v>114</v>
      </c>
      <c r="J465">
        <v>5</v>
      </c>
      <c r="K465" t="s">
        <v>20</v>
      </c>
      <c r="L465">
        <v>4</v>
      </c>
      <c r="M465">
        <v>8</v>
      </c>
    </row>
    <row r="466" spans="1:13" x14ac:dyDescent="0.3">
      <c r="A466">
        <v>465</v>
      </c>
      <c r="B466">
        <v>19</v>
      </c>
      <c r="C466" t="s">
        <v>13</v>
      </c>
      <c r="D466" t="s">
        <v>14</v>
      </c>
      <c r="E466" t="s">
        <v>81</v>
      </c>
      <c r="F466" t="s">
        <v>82</v>
      </c>
      <c r="G466" t="s">
        <v>17</v>
      </c>
      <c r="H466" t="s">
        <v>26</v>
      </c>
      <c r="I466" t="s">
        <v>218</v>
      </c>
      <c r="J466">
        <v>8</v>
      </c>
      <c r="K466" t="s">
        <v>28</v>
      </c>
      <c r="L466">
        <v>2</v>
      </c>
      <c r="M466">
        <v>4</v>
      </c>
    </row>
    <row r="467" spans="1:13" x14ac:dyDescent="0.3">
      <c r="A467">
        <v>466</v>
      </c>
      <c r="B467">
        <v>21</v>
      </c>
      <c r="C467" t="s">
        <v>21</v>
      </c>
      <c r="D467" t="s">
        <v>22</v>
      </c>
      <c r="E467" t="s">
        <v>109</v>
      </c>
      <c r="F467" t="s">
        <v>199</v>
      </c>
      <c r="G467" t="s">
        <v>17</v>
      </c>
      <c r="H467" t="s">
        <v>18</v>
      </c>
      <c r="I467" t="s">
        <v>201</v>
      </c>
      <c r="J467">
        <v>6</v>
      </c>
      <c r="K467" t="s">
        <v>28</v>
      </c>
      <c r="L467">
        <v>3</v>
      </c>
      <c r="M467">
        <v>7</v>
      </c>
    </row>
    <row r="468" spans="1:13" x14ac:dyDescent="0.3">
      <c r="A468">
        <v>467</v>
      </c>
      <c r="B468">
        <v>20</v>
      </c>
      <c r="C468" t="s">
        <v>13</v>
      </c>
      <c r="D468" t="s">
        <v>14</v>
      </c>
      <c r="E468" t="s">
        <v>29</v>
      </c>
      <c r="F468" t="s">
        <v>202</v>
      </c>
      <c r="G468" t="s">
        <v>31</v>
      </c>
      <c r="H468" t="s">
        <v>18</v>
      </c>
      <c r="I468" t="s">
        <v>199</v>
      </c>
      <c r="J468">
        <v>5</v>
      </c>
      <c r="K468" t="s">
        <v>20</v>
      </c>
      <c r="L468">
        <v>4</v>
      </c>
      <c r="M468">
        <v>9</v>
      </c>
    </row>
    <row r="469" spans="1:13" x14ac:dyDescent="0.3">
      <c r="A469">
        <v>468</v>
      </c>
      <c r="B469">
        <v>22</v>
      </c>
      <c r="C469" t="s">
        <v>21</v>
      </c>
      <c r="D469" t="s">
        <v>22</v>
      </c>
      <c r="E469" t="s">
        <v>62</v>
      </c>
      <c r="F469" t="s">
        <v>38</v>
      </c>
      <c r="G469" t="s">
        <v>214</v>
      </c>
      <c r="H469" t="s">
        <v>18</v>
      </c>
      <c r="I469" t="s">
        <v>16</v>
      </c>
      <c r="J469">
        <v>6</v>
      </c>
      <c r="K469" t="s">
        <v>28</v>
      </c>
      <c r="L469">
        <v>3</v>
      </c>
      <c r="M469">
        <v>7</v>
      </c>
    </row>
    <row r="470" spans="1:13" x14ac:dyDescent="0.3">
      <c r="A470">
        <v>469</v>
      </c>
      <c r="B470">
        <v>19</v>
      </c>
      <c r="C470" t="s">
        <v>13</v>
      </c>
      <c r="D470" t="s">
        <v>14</v>
      </c>
      <c r="E470" t="s">
        <v>55</v>
      </c>
      <c r="F470" t="s">
        <v>112</v>
      </c>
      <c r="G470" t="s">
        <v>17</v>
      </c>
      <c r="H470" t="s">
        <v>26</v>
      </c>
      <c r="I470" t="s">
        <v>210</v>
      </c>
      <c r="J470">
        <v>7</v>
      </c>
      <c r="K470" t="s">
        <v>20</v>
      </c>
      <c r="L470">
        <v>2</v>
      </c>
      <c r="M470">
        <v>5</v>
      </c>
    </row>
    <row r="471" spans="1:13" x14ac:dyDescent="0.3">
      <c r="A471">
        <v>470</v>
      </c>
      <c r="B471">
        <v>21</v>
      </c>
      <c r="C471" t="s">
        <v>21</v>
      </c>
      <c r="D471" t="s">
        <v>22</v>
      </c>
      <c r="E471" t="s">
        <v>39</v>
      </c>
      <c r="F471" t="s">
        <v>116</v>
      </c>
      <c r="G471" t="s">
        <v>17</v>
      </c>
      <c r="H471" t="s">
        <v>18</v>
      </c>
      <c r="I471" t="s">
        <v>203</v>
      </c>
      <c r="J471">
        <v>6</v>
      </c>
      <c r="K471" t="s">
        <v>28</v>
      </c>
      <c r="L471">
        <v>3</v>
      </c>
      <c r="M471">
        <v>7</v>
      </c>
    </row>
    <row r="472" spans="1:13" x14ac:dyDescent="0.3">
      <c r="A472">
        <v>471</v>
      </c>
      <c r="B472">
        <v>20</v>
      </c>
      <c r="C472" t="s">
        <v>13</v>
      </c>
      <c r="D472" t="s">
        <v>14</v>
      </c>
      <c r="E472" t="s">
        <v>58</v>
      </c>
      <c r="F472" t="s">
        <v>64</v>
      </c>
      <c r="G472" t="s">
        <v>31</v>
      </c>
      <c r="H472" t="s">
        <v>18</v>
      </c>
      <c r="I472" t="s">
        <v>202</v>
      </c>
      <c r="J472">
        <v>6</v>
      </c>
      <c r="K472" t="s">
        <v>28</v>
      </c>
      <c r="L472">
        <v>3</v>
      </c>
      <c r="M472">
        <v>7</v>
      </c>
    </row>
    <row r="473" spans="1:13" x14ac:dyDescent="0.3">
      <c r="A473">
        <v>472</v>
      </c>
      <c r="B473">
        <v>22</v>
      </c>
      <c r="C473" t="s">
        <v>21</v>
      </c>
      <c r="D473" t="s">
        <v>22</v>
      </c>
      <c r="E473" t="s">
        <v>73</v>
      </c>
      <c r="F473" t="s">
        <v>82</v>
      </c>
      <c r="G473" t="s">
        <v>41</v>
      </c>
      <c r="H473" t="s">
        <v>26</v>
      </c>
      <c r="I473" t="s">
        <v>218</v>
      </c>
      <c r="J473">
        <v>8</v>
      </c>
      <c r="K473" t="s">
        <v>20</v>
      </c>
      <c r="L473">
        <v>2</v>
      </c>
      <c r="M473">
        <v>4</v>
      </c>
    </row>
    <row r="474" spans="1:13" x14ac:dyDescent="0.3">
      <c r="A474">
        <v>473</v>
      </c>
      <c r="B474">
        <v>19</v>
      </c>
      <c r="C474" t="s">
        <v>13</v>
      </c>
      <c r="D474" t="s">
        <v>14</v>
      </c>
      <c r="E474" t="s">
        <v>91</v>
      </c>
      <c r="F474" t="s">
        <v>206</v>
      </c>
      <c r="G474" t="s">
        <v>17</v>
      </c>
      <c r="H474" t="s">
        <v>18</v>
      </c>
      <c r="I474" t="s">
        <v>205</v>
      </c>
      <c r="J474">
        <v>7</v>
      </c>
      <c r="K474" t="s">
        <v>28</v>
      </c>
      <c r="L474">
        <v>3</v>
      </c>
      <c r="M474">
        <v>6</v>
      </c>
    </row>
    <row r="475" spans="1:13" x14ac:dyDescent="0.3">
      <c r="A475">
        <v>474</v>
      </c>
      <c r="B475">
        <v>21</v>
      </c>
      <c r="C475" t="s">
        <v>21</v>
      </c>
      <c r="D475" t="s">
        <v>22</v>
      </c>
      <c r="E475" t="s">
        <v>23</v>
      </c>
      <c r="F475" t="s">
        <v>83</v>
      </c>
      <c r="G475" t="s">
        <v>214</v>
      </c>
      <c r="H475" t="s">
        <v>18</v>
      </c>
      <c r="I475" t="s">
        <v>32</v>
      </c>
      <c r="J475">
        <v>5</v>
      </c>
      <c r="K475" t="s">
        <v>20</v>
      </c>
      <c r="L475">
        <v>4</v>
      </c>
      <c r="M475">
        <v>8</v>
      </c>
    </row>
    <row r="476" spans="1:13" x14ac:dyDescent="0.3">
      <c r="A476">
        <v>475</v>
      </c>
      <c r="B476">
        <v>20</v>
      </c>
      <c r="C476" t="s">
        <v>13</v>
      </c>
      <c r="D476" t="s">
        <v>14</v>
      </c>
      <c r="E476" t="s">
        <v>81</v>
      </c>
      <c r="F476" t="s">
        <v>137</v>
      </c>
      <c r="G476" t="s">
        <v>17</v>
      </c>
      <c r="H476" t="s">
        <v>26</v>
      </c>
      <c r="I476" t="s">
        <v>219</v>
      </c>
      <c r="J476">
        <v>8</v>
      </c>
      <c r="K476" t="s">
        <v>28</v>
      </c>
      <c r="L476">
        <v>2</v>
      </c>
      <c r="M476">
        <v>4</v>
      </c>
    </row>
    <row r="477" spans="1:13" x14ac:dyDescent="0.3">
      <c r="A477">
        <v>476</v>
      </c>
      <c r="B477">
        <v>22</v>
      </c>
      <c r="C477" t="s">
        <v>21</v>
      </c>
      <c r="D477" t="s">
        <v>22</v>
      </c>
      <c r="E477" t="s">
        <v>109</v>
      </c>
      <c r="F477" t="s">
        <v>52</v>
      </c>
      <c r="G477" t="s">
        <v>31</v>
      </c>
      <c r="H477" t="s">
        <v>18</v>
      </c>
      <c r="I477" t="s">
        <v>202</v>
      </c>
      <c r="J477">
        <v>6</v>
      </c>
      <c r="K477" t="s">
        <v>28</v>
      </c>
      <c r="L477">
        <v>3</v>
      </c>
      <c r="M477">
        <v>7</v>
      </c>
    </row>
    <row r="478" spans="1:13" x14ac:dyDescent="0.3">
      <c r="A478">
        <v>477</v>
      </c>
      <c r="B478">
        <v>19</v>
      </c>
      <c r="C478" t="s">
        <v>13</v>
      </c>
      <c r="D478" t="s">
        <v>14</v>
      </c>
      <c r="E478" t="s">
        <v>29</v>
      </c>
      <c r="F478" t="s">
        <v>203</v>
      </c>
      <c r="G478" t="s">
        <v>17</v>
      </c>
      <c r="H478" t="s">
        <v>18</v>
      </c>
      <c r="I478" t="s">
        <v>52</v>
      </c>
      <c r="J478">
        <v>5</v>
      </c>
      <c r="K478" t="s">
        <v>20</v>
      </c>
      <c r="L478">
        <v>4</v>
      </c>
      <c r="M478">
        <v>9</v>
      </c>
    </row>
    <row r="479" spans="1:13" x14ac:dyDescent="0.3">
      <c r="A479">
        <v>478</v>
      </c>
      <c r="B479">
        <v>21</v>
      </c>
      <c r="C479" t="s">
        <v>21</v>
      </c>
      <c r="D479" t="s">
        <v>22</v>
      </c>
      <c r="E479" t="s">
        <v>62</v>
      </c>
      <c r="F479" t="s">
        <v>127</v>
      </c>
      <c r="G479" t="s">
        <v>214</v>
      </c>
      <c r="H479" t="s">
        <v>18</v>
      </c>
      <c r="I479" t="s">
        <v>114</v>
      </c>
      <c r="J479">
        <v>6</v>
      </c>
      <c r="K479" t="s">
        <v>28</v>
      </c>
      <c r="L479">
        <v>3</v>
      </c>
      <c r="M479">
        <v>7</v>
      </c>
    </row>
    <row r="480" spans="1:13" x14ac:dyDescent="0.3">
      <c r="A480">
        <v>479</v>
      </c>
      <c r="B480">
        <v>20</v>
      </c>
      <c r="C480" t="s">
        <v>13</v>
      </c>
      <c r="D480" t="s">
        <v>14</v>
      </c>
      <c r="E480" t="s">
        <v>55</v>
      </c>
      <c r="F480" t="s">
        <v>36</v>
      </c>
      <c r="G480" t="s">
        <v>17</v>
      </c>
      <c r="H480" t="s">
        <v>26</v>
      </c>
      <c r="I480" t="s">
        <v>215</v>
      </c>
      <c r="J480">
        <v>7</v>
      </c>
      <c r="K480" t="s">
        <v>20</v>
      </c>
      <c r="L480">
        <v>2</v>
      </c>
      <c r="M480">
        <v>5</v>
      </c>
    </row>
    <row r="481" spans="1:13" x14ac:dyDescent="0.3">
      <c r="A481">
        <v>480</v>
      </c>
      <c r="B481">
        <v>22</v>
      </c>
      <c r="C481" t="s">
        <v>21</v>
      </c>
      <c r="D481" t="s">
        <v>22</v>
      </c>
      <c r="E481" t="s">
        <v>39</v>
      </c>
      <c r="F481" t="s">
        <v>94</v>
      </c>
      <c r="G481" t="s">
        <v>31</v>
      </c>
      <c r="H481" t="s">
        <v>18</v>
      </c>
      <c r="I481" t="s">
        <v>204</v>
      </c>
      <c r="J481">
        <v>6</v>
      </c>
      <c r="K481" t="s">
        <v>28</v>
      </c>
      <c r="L481">
        <v>3</v>
      </c>
      <c r="M481">
        <v>7</v>
      </c>
    </row>
    <row r="482" spans="1:13" x14ac:dyDescent="0.3">
      <c r="A482">
        <v>481</v>
      </c>
      <c r="B482">
        <v>19</v>
      </c>
      <c r="C482" t="s">
        <v>13</v>
      </c>
      <c r="D482" t="s">
        <v>14</v>
      </c>
      <c r="E482" t="s">
        <v>58</v>
      </c>
      <c r="F482" t="s">
        <v>103</v>
      </c>
      <c r="G482" t="s">
        <v>17</v>
      </c>
      <c r="H482" t="s">
        <v>18</v>
      </c>
      <c r="I482" t="s">
        <v>203</v>
      </c>
      <c r="J482">
        <v>6</v>
      </c>
      <c r="K482" t="s">
        <v>28</v>
      </c>
      <c r="L482">
        <v>3</v>
      </c>
      <c r="M482">
        <v>7</v>
      </c>
    </row>
    <row r="483" spans="1:13" x14ac:dyDescent="0.3">
      <c r="A483">
        <v>482</v>
      </c>
      <c r="B483">
        <v>21</v>
      </c>
      <c r="C483" t="s">
        <v>21</v>
      </c>
      <c r="D483" t="s">
        <v>22</v>
      </c>
      <c r="E483" t="s">
        <v>73</v>
      </c>
      <c r="F483" t="s">
        <v>137</v>
      </c>
      <c r="G483" t="s">
        <v>41</v>
      </c>
      <c r="H483" t="s">
        <v>26</v>
      </c>
      <c r="I483" t="s">
        <v>219</v>
      </c>
      <c r="J483">
        <v>8</v>
      </c>
      <c r="K483" t="s">
        <v>20</v>
      </c>
      <c r="L483">
        <v>2</v>
      </c>
      <c r="M483">
        <v>4</v>
      </c>
    </row>
    <row r="484" spans="1:13" x14ac:dyDescent="0.3">
      <c r="A484">
        <v>483</v>
      </c>
      <c r="B484">
        <v>20</v>
      </c>
      <c r="C484" t="s">
        <v>13</v>
      </c>
      <c r="D484" t="s">
        <v>14</v>
      </c>
      <c r="E484" t="s">
        <v>91</v>
      </c>
      <c r="F484" t="s">
        <v>54</v>
      </c>
      <c r="G484" t="s">
        <v>31</v>
      </c>
      <c r="H484" t="s">
        <v>18</v>
      </c>
      <c r="I484" t="s">
        <v>207</v>
      </c>
      <c r="J484">
        <v>7</v>
      </c>
      <c r="K484" t="s">
        <v>28</v>
      </c>
      <c r="L484">
        <v>3</v>
      </c>
      <c r="M484">
        <v>6</v>
      </c>
    </row>
    <row r="485" spans="1:13" x14ac:dyDescent="0.3">
      <c r="A485">
        <v>484</v>
      </c>
      <c r="B485">
        <v>22</v>
      </c>
      <c r="C485" t="s">
        <v>21</v>
      </c>
      <c r="D485" t="s">
        <v>22</v>
      </c>
      <c r="E485" t="s">
        <v>23</v>
      </c>
      <c r="F485" t="s">
        <v>100</v>
      </c>
      <c r="G485" t="s">
        <v>214</v>
      </c>
      <c r="H485" t="s">
        <v>18</v>
      </c>
      <c r="I485" t="s">
        <v>85</v>
      </c>
      <c r="J485">
        <v>5</v>
      </c>
      <c r="K485" t="s">
        <v>20</v>
      </c>
      <c r="L485">
        <v>4</v>
      </c>
      <c r="M485">
        <v>8</v>
      </c>
    </row>
    <row r="486" spans="1:13" x14ac:dyDescent="0.3">
      <c r="A486">
        <v>485</v>
      </c>
      <c r="B486">
        <v>19</v>
      </c>
      <c r="C486" t="s">
        <v>13</v>
      </c>
      <c r="D486" t="s">
        <v>14</v>
      </c>
      <c r="E486" t="s">
        <v>81</v>
      </c>
      <c r="F486" t="s">
        <v>119</v>
      </c>
      <c r="G486" t="s">
        <v>17</v>
      </c>
      <c r="H486" t="s">
        <v>26</v>
      </c>
      <c r="I486" t="s">
        <v>220</v>
      </c>
      <c r="J486">
        <v>8</v>
      </c>
      <c r="K486" t="s">
        <v>28</v>
      </c>
      <c r="L486">
        <v>2</v>
      </c>
      <c r="M486">
        <v>4</v>
      </c>
    </row>
    <row r="487" spans="1:13" x14ac:dyDescent="0.3">
      <c r="A487">
        <v>486</v>
      </c>
      <c r="B487">
        <v>21</v>
      </c>
      <c r="C487" t="s">
        <v>21</v>
      </c>
      <c r="D487" t="s">
        <v>22</v>
      </c>
      <c r="E487" t="s">
        <v>109</v>
      </c>
      <c r="F487" t="s">
        <v>116</v>
      </c>
      <c r="G487" t="s">
        <v>17</v>
      </c>
      <c r="H487" t="s">
        <v>18</v>
      </c>
      <c r="I487" t="s">
        <v>203</v>
      </c>
      <c r="J487">
        <v>6</v>
      </c>
      <c r="K487" t="s">
        <v>28</v>
      </c>
      <c r="L487">
        <v>3</v>
      </c>
      <c r="M487">
        <v>7</v>
      </c>
    </row>
    <row r="488" spans="1:13" x14ac:dyDescent="0.3">
      <c r="A488">
        <v>487</v>
      </c>
      <c r="B488">
        <v>20</v>
      </c>
      <c r="C488" t="s">
        <v>13</v>
      </c>
      <c r="D488" t="s">
        <v>14</v>
      </c>
      <c r="E488" t="s">
        <v>29</v>
      </c>
      <c r="F488" t="s">
        <v>204</v>
      </c>
      <c r="G488" t="s">
        <v>31</v>
      </c>
      <c r="H488" t="s">
        <v>18</v>
      </c>
      <c r="I488" t="s">
        <v>116</v>
      </c>
      <c r="J488">
        <v>5</v>
      </c>
      <c r="K488" t="s">
        <v>20</v>
      </c>
      <c r="L488">
        <v>4</v>
      </c>
      <c r="M488">
        <v>9</v>
      </c>
    </row>
    <row r="489" spans="1:13" x14ac:dyDescent="0.3">
      <c r="A489">
        <v>488</v>
      </c>
      <c r="B489">
        <v>22</v>
      </c>
      <c r="C489" t="s">
        <v>21</v>
      </c>
      <c r="D489" t="s">
        <v>22</v>
      </c>
      <c r="E489" t="s">
        <v>62</v>
      </c>
      <c r="F489" t="s">
        <v>43</v>
      </c>
      <c r="G489" t="s">
        <v>214</v>
      </c>
      <c r="H489" t="s">
        <v>18</v>
      </c>
      <c r="I489" t="s">
        <v>32</v>
      </c>
      <c r="J489">
        <v>6</v>
      </c>
      <c r="K489" t="s">
        <v>28</v>
      </c>
      <c r="L489">
        <v>3</v>
      </c>
      <c r="M489">
        <v>7</v>
      </c>
    </row>
    <row r="490" spans="1:13" x14ac:dyDescent="0.3">
      <c r="A490">
        <v>489</v>
      </c>
      <c r="B490">
        <v>19</v>
      </c>
      <c r="C490" t="s">
        <v>13</v>
      </c>
      <c r="D490" t="s">
        <v>14</v>
      </c>
      <c r="E490" t="s">
        <v>55</v>
      </c>
      <c r="F490" t="s">
        <v>163</v>
      </c>
      <c r="G490" t="s">
        <v>17</v>
      </c>
      <c r="H490" t="s">
        <v>26</v>
      </c>
      <c r="I490" t="s">
        <v>216</v>
      </c>
      <c r="J490">
        <v>7</v>
      </c>
      <c r="K490" t="s">
        <v>20</v>
      </c>
      <c r="L490">
        <v>2</v>
      </c>
      <c r="M490">
        <v>5</v>
      </c>
    </row>
    <row r="491" spans="1:13" x14ac:dyDescent="0.3">
      <c r="A491">
        <v>490</v>
      </c>
      <c r="B491">
        <v>21</v>
      </c>
      <c r="C491" t="s">
        <v>21</v>
      </c>
      <c r="D491" t="s">
        <v>22</v>
      </c>
      <c r="E491" t="s">
        <v>39</v>
      </c>
      <c r="F491" t="s">
        <v>64</v>
      </c>
      <c r="G491" t="s">
        <v>17</v>
      </c>
      <c r="H491" t="s">
        <v>18</v>
      </c>
      <c r="I491" t="s">
        <v>205</v>
      </c>
      <c r="J491">
        <v>6</v>
      </c>
      <c r="K491" t="s">
        <v>28</v>
      </c>
      <c r="L491">
        <v>3</v>
      </c>
      <c r="M491">
        <v>7</v>
      </c>
    </row>
    <row r="492" spans="1:13" x14ac:dyDescent="0.3">
      <c r="A492">
        <v>491</v>
      </c>
      <c r="B492">
        <v>20</v>
      </c>
      <c r="C492" t="s">
        <v>13</v>
      </c>
      <c r="D492" t="s">
        <v>14</v>
      </c>
      <c r="E492" t="s">
        <v>58</v>
      </c>
      <c r="F492" t="s">
        <v>74</v>
      </c>
      <c r="G492" t="s">
        <v>31</v>
      </c>
      <c r="H492" t="s">
        <v>18</v>
      </c>
      <c r="I492" t="s">
        <v>204</v>
      </c>
      <c r="J492">
        <v>6</v>
      </c>
      <c r="K492" t="s">
        <v>28</v>
      </c>
      <c r="L492">
        <v>3</v>
      </c>
      <c r="M492">
        <v>7</v>
      </c>
    </row>
    <row r="493" spans="1:13" x14ac:dyDescent="0.3">
      <c r="A493">
        <v>492</v>
      </c>
      <c r="B493">
        <v>22</v>
      </c>
      <c r="C493" t="s">
        <v>21</v>
      </c>
      <c r="D493" t="s">
        <v>22</v>
      </c>
      <c r="E493" t="s">
        <v>73</v>
      </c>
      <c r="F493" t="s">
        <v>119</v>
      </c>
      <c r="G493" t="s">
        <v>41</v>
      </c>
      <c r="H493" t="s">
        <v>26</v>
      </c>
      <c r="I493" t="s">
        <v>220</v>
      </c>
      <c r="J493">
        <v>8</v>
      </c>
      <c r="K493" t="s">
        <v>20</v>
      </c>
      <c r="L493">
        <v>2</v>
      </c>
      <c r="M493">
        <v>4</v>
      </c>
    </row>
    <row r="494" spans="1:13" x14ac:dyDescent="0.3">
      <c r="A494">
        <v>493</v>
      </c>
      <c r="B494">
        <v>19</v>
      </c>
      <c r="C494" t="s">
        <v>13</v>
      </c>
      <c r="D494" t="s">
        <v>14</v>
      </c>
      <c r="E494" t="s">
        <v>91</v>
      </c>
      <c r="F494" t="s">
        <v>89</v>
      </c>
      <c r="G494" t="s">
        <v>17</v>
      </c>
      <c r="H494" t="s">
        <v>18</v>
      </c>
      <c r="I494" t="s">
        <v>208</v>
      </c>
      <c r="J494">
        <v>7</v>
      </c>
      <c r="K494" t="s">
        <v>28</v>
      </c>
      <c r="L494">
        <v>3</v>
      </c>
      <c r="M494">
        <v>6</v>
      </c>
    </row>
    <row r="495" spans="1:13" x14ac:dyDescent="0.3">
      <c r="A495">
        <v>494</v>
      </c>
      <c r="B495">
        <v>21</v>
      </c>
      <c r="C495" t="s">
        <v>21</v>
      </c>
      <c r="D495" t="s">
        <v>22</v>
      </c>
      <c r="E495" t="s">
        <v>23</v>
      </c>
      <c r="F495" t="s">
        <v>27</v>
      </c>
      <c r="G495" t="s">
        <v>214</v>
      </c>
      <c r="H495" t="s">
        <v>18</v>
      </c>
      <c r="I495" t="s">
        <v>56</v>
      </c>
      <c r="J495">
        <v>5</v>
      </c>
      <c r="K495" t="s">
        <v>20</v>
      </c>
      <c r="L495">
        <v>4</v>
      </c>
      <c r="M495">
        <v>8</v>
      </c>
    </row>
    <row r="496" spans="1:13" x14ac:dyDescent="0.3">
      <c r="A496">
        <v>495</v>
      </c>
      <c r="B496">
        <v>20</v>
      </c>
      <c r="C496" t="s">
        <v>13</v>
      </c>
      <c r="D496" t="s">
        <v>14</v>
      </c>
      <c r="E496" t="s">
        <v>81</v>
      </c>
      <c r="F496" t="s">
        <v>99</v>
      </c>
      <c r="G496" t="s">
        <v>17</v>
      </c>
      <c r="H496" t="s">
        <v>26</v>
      </c>
      <c r="I496" t="s">
        <v>221</v>
      </c>
      <c r="J496">
        <v>8</v>
      </c>
      <c r="K496" t="s">
        <v>28</v>
      </c>
      <c r="L496">
        <v>2</v>
      </c>
      <c r="M496">
        <v>4</v>
      </c>
    </row>
    <row r="497" spans="1:13" x14ac:dyDescent="0.3">
      <c r="A497">
        <v>496</v>
      </c>
      <c r="B497">
        <v>22</v>
      </c>
      <c r="C497" t="s">
        <v>21</v>
      </c>
      <c r="D497" t="s">
        <v>22</v>
      </c>
      <c r="E497" t="s">
        <v>109</v>
      </c>
      <c r="F497" t="s">
        <v>94</v>
      </c>
      <c r="G497" t="s">
        <v>31</v>
      </c>
      <c r="H497" t="s">
        <v>18</v>
      </c>
      <c r="I497" t="s">
        <v>204</v>
      </c>
      <c r="J497">
        <v>6</v>
      </c>
      <c r="K497" t="s">
        <v>28</v>
      </c>
      <c r="L497">
        <v>3</v>
      </c>
      <c r="M497">
        <v>7</v>
      </c>
    </row>
    <row r="498" spans="1:13" x14ac:dyDescent="0.3">
      <c r="A498">
        <v>497</v>
      </c>
      <c r="B498">
        <v>19</v>
      </c>
      <c r="C498" t="s">
        <v>13</v>
      </c>
      <c r="D498" t="s">
        <v>14</v>
      </c>
      <c r="E498" t="s">
        <v>29</v>
      </c>
      <c r="F498" t="s">
        <v>205</v>
      </c>
      <c r="G498" t="s">
        <v>17</v>
      </c>
      <c r="H498" t="s">
        <v>18</v>
      </c>
      <c r="I498" t="s">
        <v>94</v>
      </c>
      <c r="J498">
        <v>5</v>
      </c>
      <c r="K498" t="s">
        <v>20</v>
      </c>
      <c r="L498">
        <v>4</v>
      </c>
      <c r="M498">
        <v>9</v>
      </c>
    </row>
    <row r="499" spans="1:13" x14ac:dyDescent="0.3">
      <c r="A499">
        <v>498</v>
      </c>
      <c r="B499">
        <v>21</v>
      </c>
      <c r="C499" t="s">
        <v>21</v>
      </c>
      <c r="D499" t="s">
        <v>22</v>
      </c>
      <c r="E499" t="s">
        <v>62</v>
      </c>
      <c r="F499" t="s">
        <v>83</v>
      </c>
      <c r="G499" t="s">
        <v>214</v>
      </c>
      <c r="H499" t="s">
        <v>18</v>
      </c>
      <c r="I499" t="s">
        <v>85</v>
      </c>
      <c r="J499">
        <v>6</v>
      </c>
      <c r="K499" t="s">
        <v>28</v>
      </c>
      <c r="L499">
        <v>3</v>
      </c>
      <c r="M499">
        <v>7</v>
      </c>
    </row>
    <row r="500" spans="1:13" x14ac:dyDescent="0.3">
      <c r="A500">
        <v>499</v>
      </c>
      <c r="B500">
        <v>20</v>
      </c>
      <c r="C500" t="s">
        <v>13</v>
      </c>
      <c r="D500" t="s">
        <v>14</v>
      </c>
      <c r="E500" t="s">
        <v>55</v>
      </c>
      <c r="F500" t="s">
        <v>61</v>
      </c>
      <c r="G500" t="s">
        <v>17</v>
      </c>
      <c r="H500" t="s">
        <v>26</v>
      </c>
      <c r="I500" t="s">
        <v>217</v>
      </c>
      <c r="J500">
        <v>7</v>
      </c>
      <c r="K500" t="s">
        <v>20</v>
      </c>
      <c r="L500">
        <v>2</v>
      </c>
      <c r="M500">
        <v>5</v>
      </c>
    </row>
    <row r="501" spans="1:13" x14ac:dyDescent="0.3">
      <c r="A501">
        <v>500</v>
      </c>
      <c r="B501">
        <v>22</v>
      </c>
      <c r="C501" t="s">
        <v>21</v>
      </c>
      <c r="D501" t="s">
        <v>22</v>
      </c>
      <c r="E501" t="s">
        <v>39</v>
      </c>
      <c r="F501" t="s">
        <v>103</v>
      </c>
      <c r="G501" t="s">
        <v>31</v>
      </c>
      <c r="H501" t="s">
        <v>18</v>
      </c>
      <c r="I501" t="s">
        <v>207</v>
      </c>
      <c r="J501">
        <v>6</v>
      </c>
      <c r="K501" t="s">
        <v>28</v>
      </c>
      <c r="L501">
        <v>3</v>
      </c>
      <c r="M501">
        <v>7</v>
      </c>
    </row>
    <row r="502" spans="1:13" x14ac:dyDescent="0.3">
      <c r="A502">
        <v>501</v>
      </c>
      <c r="B502">
        <v>19</v>
      </c>
      <c r="C502" t="s">
        <v>13</v>
      </c>
      <c r="D502" t="s">
        <v>14</v>
      </c>
      <c r="E502" t="s">
        <v>48</v>
      </c>
      <c r="F502" t="s">
        <v>57</v>
      </c>
      <c r="G502" t="s">
        <v>214</v>
      </c>
      <c r="H502" t="s">
        <v>18</v>
      </c>
      <c r="I502" t="s">
        <v>132</v>
      </c>
      <c r="J502">
        <v>6</v>
      </c>
      <c r="K502" t="s">
        <v>28</v>
      </c>
      <c r="L502">
        <v>3</v>
      </c>
      <c r="M502">
        <v>7</v>
      </c>
    </row>
    <row r="503" spans="1:13" x14ac:dyDescent="0.3">
      <c r="A503">
        <v>502</v>
      </c>
      <c r="B503">
        <v>21</v>
      </c>
      <c r="C503" t="s">
        <v>21</v>
      </c>
      <c r="D503" t="s">
        <v>22</v>
      </c>
      <c r="E503" t="s">
        <v>66</v>
      </c>
      <c r="F503" t="s">
        <v>40</v>
      </c>
      <c r="G503" t="s">
        <v>222</v>
      </c>
      <c r="H503" t="s">
        <v>26</v>
      </c>
      <c r="I503" t="s">
        <v>70</v>
      </c>
      <c r="J503">
        <v>7</v>
      </c>
      <c r="K503" t="s">
        <v>20</v>
      </c>
      <c r="L503">
        <v>2</v>
      </c>
      <c r="M503">
        <v>5</v>
      </c>
    </row>
    <row r="504" spans="1:13" x14ac:dyDescent="0.3">
      <c r="A504">
        <v>503</v>
      </c>
      <c r="B504">
        <v>20</v>
      </c>
      <c r="C504" t="s">
        <v>13</v>
      </c>
      <c r="D504" t="s">
        <v>14</v>
      </c>
      <c r="E504" t="s">
        <v>76</v>
      </c>
      <c r="F504" t="s">
        <v>94</v>
      </c>
      <c r="G504" t="s">
        <v>17</v>
      </c>
      <c r="H504" t="s">
        <v>26</v>
      </c>
      <c r="I504" t="s">
        <v>202</v>
      </c>
      <c r="J504">
        <v>8</v>
      </c>
      <c r="K504" t="s">
        <v>28</v>
      </c>
      <c r="L504">
        <v>2</v>
      </c>
      <c r="M504">
        <v>4</v>
      </c>
    </row>
    <row r="505" spans="1:13" x14ac:dyDescent="0.3">
      <c r="A505">
        <v>504</v>
      </c>
      <c r="B505">
        <v>22</v>
      </c>
      <c r="C505" t="s">
        <v>21</v>
      </c>
      <c r="D505" t="s">
        <v>22</v>
      </c>
      <c r="E505" t="s">
        <v>93</v>
      </c>
      <c r="F505" t="s">
        <v>77</v>
      </c>
      <c r="G505" t="s">
        <v>17</v>
      </c>
      <c r="H505" t="s">
        <v>18</v>
      </c>
      <c r="I505" t="s">
        <v>27</v>
      </c>
      <c r="J505">
        <v>7</v>
      </c>
      <c r="K505" t="s">
        <v>20</v>
      </c>
      <c r="L505">
        <v>3</v>
      </c>
      <c r="M505">
        <v>6</v>
      </c>
    </row>
    <row r="506" spans="1:13" x14ac:dyDescent="0.3">
      <c r="A506">
        <v>505</v>
      </c>
      <c r="B506">
        <v>19</v>
      </c>
      <c r="C506" t="s">
        <v>13</v>
      </c>
      <c r="D506" t="s">
        <v>14</v>
      </c>
      <c r="E506" t="s">
        <v>96</v>
      </c>
      <c r="F506" t="s">
        <v>114</v>
      </c>
      <c r="G506" t="s">
        <v>31</v>
      </c>
      <c r="H506" t="s">
        <v>18</v>
      </c>
      <c r="I506" t="s">
        <v>38</v>
      </c>
      <c r="J506">
        <v>6</v>
      </c>
      <c r="K506" t="s">
        <v>28</v>
      </c>
      <c r="L506">
        <v>3</v>
      </c>
      <c r="M506">
        <v>7</v>
      </c>
    </row>
    <row r="507" spans="1:13" x14ac:dyDescent="0.3">
      <c r="A507">
        <v>506</v>
      </c>
      <c r="B507">
        <v>21</v>
      </c>
      <c r="C507" t="s">
        <v>21</v>
      </c>
      <c r="D507" t="s">
        <v>22</v>
      </c>
      <c r="E507" t="s">
        <v>98</v>
      </c>
      <c r="F507" t="s">
        <v>59</v>
      </c>
      <c r="G507" t="s">
        <v>214</v>
      </c>
      <c r="H507" t="s">
        <v>18</v>
      </c>
      <c r="I507" t="s">
        <v>65</v>
      </c>
      <c r="J507">
        <v>6</v>
      </c>
      <c r="K507" t="s">
        <v>28</v>
      </c>
      <c r="L507">
        <v>3</v>
      </c>
      <c r="M507">
        <v>7</v>
      </c>
    </row>
    <row r="508" spans="1:13" x14ac:dyDescent="0.3">
      <c r="A508">
        <v>507</v>
      </c>
      <c r="B508">
        <v>20</v>
      </c>
      <c r="C508" t="s">
        <v>13</v>
      </c>
      <c r="D508" t="s">
        <v>14</v>
      </c>
      <c r="E508" t="s">
        <v>113</v>
      </c>
      <c r="F508" t="s">
        <v>19</v>
      </c>
      <c r="G508" t="s">
        <v>17</v>
      </c>
      <c r="H508" t="s">
        <v>18</v>
      </c>
      <c r="I508" t="s">
        <v>19</v>
      </c>
      <c r="J508">
        <v>5</v>
      </c>
      <c r="K508" t="s">
        <v>20</v>
      </c>
      <c r="L508">
        <v>4</v>
      </c>
      <c r="M508">
        <v>8</v>
      </c>
    </row>
    <row r="509" spans="1:13" x14ac:dyDescent="0.3">
      <c r="A509">
        <v>508</v>
      </c>
      <c r="B509">
        <v>22</v>
      </c>
      <c r="C509" t="s">
        <v>21</v>
      </c>
      <c r="D509" t="s">
        <v>22</v>
      </c>
      <c r="E509" t="s">
        <v>145</v>
      </c>
      <c r="F509" t="s">
        <v>67</v>
      </c>
      <c r="G509" t="s">
        <v>41</v>
      </c>
      <c r="H509" t="s">
        <v>26</v>
      </c>
      <c r="I509" t="s">
        <v>200</v>
      </c>
      <c r="J509">
        <v>7</v>
      </c>
      <c r="K509" t="s">
        <v>28</v>
      </c>
      <c r="L509">
        <v>2</v>
      </c>
      <c r="M509">
        <v>5</v>
      </c>
    </row>
    <row r="510" spans="1:13" x14ac:dyDescent="0.3">
      <c r="A510">
        <v>509</v>
      </c>
      <c r="B510">
        <v>19</v>
      </c>
      <c r="C510" t="s">
        <v>13</v>
      </c>
      <c r="D510" t="s">
        <v>14</v>
      </c>
      <c r="E510" t="s">
        <v>23</v>
      </c>
      <c r="F510" t="s">
        <v>65</v>
      </c>
      <c r="G510" t="s">
        <v>214</v>
      </c>
      <c r="H510" t="s">
        <v>18</v>
      </c>
      <c r="I510" t="s">
        <v>30</v>
      </c>
      <c r="J510">
        <v>5</v>
      </c>
      <c r="K510" t="s">
        <v>20</v>
      </c>
      <c r="L510">
        <v>4</v>
      </c>
      <c r="M510">
        <v>8</v>
      </c>
    </row>
    <row r="511" spans="1:13" x14ac:dyDescent="0.3">
      <c r="A511">
        <v>510</v>
      </c>
      <c r="B511">
        <v>21</v>
      </c>
      <c r="C511" t="s">
        <v>21</v>
      </c>
      <c r="D511" t="s">
        <v>22</v>
      </c>
      <c r="E511" t="s">
        <v>39</v>
      </c>
      <c r="F511" t="s">
        <v>56</v>
      </c>
      <c r="G511" t="s">
        <v>17</v>
      </c>
      <c r="H511" t="s">
        <v>18</v>
      </c>
      <c r="I511" t="s">
        <v>100</v>
      </c>
      <c r="J511">
        <v>7</v>
      </c>
      <c r="K511" t="s">
        <v>28</v>
      </c>
      <c r="L511">
        <v>3</v>
      </c>
      <c r="M511">
        <v>6</v>
      </c>
    </row>
    <row r="512" spans="1:13" x14ac:dyDescent="0.3">
      <c r="A512">
        <v>511</v>
      </c>
      <c r="B512">
        <v>20</v>
      </c>
      <c r="C512" t="s">
        <v>13</v>
      </c>
      <c r="D512" t="s">
        <v>14</v>
      </c>
      <c r="E512" t="s">
        <v>48</v>
      </c>
      <c r="F512" t="s">
        <v>92</v>
      </c>
      <c r="G512" t="s">
        <v>17</v>
      </c>
      <c r="H512" t="s">
        <v>18</v>
      </c>
      <c r="I512" t="s">
        <v>134</v>
      </c>
      <c r="J512">
        <v>6</v>
      </c>
      <c r="K512" t="s">
        <v>28</v>
      </c>
      <c r="L512">
        <v>3</v>
      </c>
      <c r="M512">
        <v>7</v>
      </c>
    </row>
    <row r="513" spans="1:13" x14ac:dyDescent="0.3">
      <c r="A513">
        <v>512</v>
      </c>
      <c r="B513">
        <v>22</v>
      </c>
      <c r="C513" t="s">
        <v>21</v>
      </c>
      <c r="D513" t="s">
        <v>22</v>
      </c>
      <c r="E513" t="s">
        <v>66</v>
      </c>
      <c r="F513" t="s">
        <v>97</v>
      </c>
      <c r="G513" t="s">
        <v>222</v>
      </c>
      <c r="H513" t="s">
        <v>26</v>
      </c>
      <c r="I513" t="s">
        <v>200</v>
      </c>
      <c r="J513">
        <v>7</v>
      </c>
      <c r="K513" t="s">
        <v>20</v>
      </c>
      <c r="L513">
        <v>2</v>
      </c>
      <c r="M513">
        <v>5</v>
      </c>
    </row>
    <row r="514" spans="1:13" x14ac:dyDescent="0.3">
      <c r="A514">
        <v>513</v>
      </c>
      <c r="B514">
        <v>19</v>
      </c>
      <c r="C514" t="s">
        <v>13</v>
      </c>
      <c r="D514" t="s">
        <v>14</v>
      </c>
      <c r="E514" t="s">
        <v>76</v>
      </c>
      <c r="F514" t="s">
        <v>64</v>
      </c>
      <c r="G514" t="s">
        <v>31</v>
      </c>
      <c r="H514" t="s">
        <v>26</v>
      </c>
      <c r="I514" t="s">
        <v>203</v>
      </c>
      <c r="J514">
        <v>8</v>
      </c>
      <c r="K514" t="s">
        <v>28</v>
      </c>
      <c r="L514">
        <v>2</v>
      </c>
      <c r="M514">
        <v>4</v>
      </c>
    </row>
    <row r="515" spans="1:13" x14ac:dyDescent="0.3">
      <c r="A515">
        <v>514</v>
      </c>
      <c r="B515">
        <v>21</v>
      </c>
      <c r="C515" t="s">
        <v>21</v>
      </c>
      <c r="D515" t="s">
        <v>22</v>
      </c>
      <c r="E515" t="s">
        <v>93</v>
      </c>
      <c r="F515" t="s">
        <v>123</v>
      </c>
      <c r="G515" t="s">
        <v>17</v>
      </c>
      <c r="H515" t="s">
        <v>18</v>
      </c>
      <c r="I515" t="s">
        <v>196</v>
      </c>
      <c r="J515">
        <v>7</v>
      </c>
      <c r="K515" t="s">
        <v>20</v>
      </c>
      <c r="L515">
        <v>3</v>
      </c>
      <c r="M515">
        <v>6</v>
      </c>
    </row>
    <row r="516" spans="1:13" x14ac:dyDescent="0.3">
      <c r="A516">
        <v>515</v>
      </c>
      <c r="B516">
        <v>20</v>
      </c>
      <c r="C516" t="s">
        <v>13</v>
      </c>
      <c r="D516" t="s">
        <v>14</v>
      </c>
      <c r="E516" t="s">
        <v>96</v>
      </c>
      <c r="F516" t="s">
        <v>16</v>
      </c>
      <c r="G516" t="s">
        <v>31</v>
      </c>
      <c r="H516" t="s">
        <v>18</v>
      </c>
      <c r="I516" t="s">
        <v>90</v>
      </c>
      <c r="J516">
        <v>6</v>
      </c>
      <c r="K516" t="s">
        <v>28</v>
      </c>
      <c r="L516">
        <v>3</v>
      </c>
      <c r="M516">
        <v>7</v>
      </c>
    </row>
    <row r="517" spans="1:13" x14ac:dyDescent="0.3">
      <c r="A517">
        <v>516</v>
      </c>
      <c r="B517">
        <v>22</v>
      </c>
      <c r="C517" t="s">
        <v>21</v>
      </c>
      <c r="D517" t="s">
        <v>22</v>
      </c>
      <c r="E517" t="s">
        <v>98</v>
      </c>
      <c r="F517" t="s">
        <v>110</v>
      </c>
      <c r="G517" t="s">
        <v>214</v>
      </c>
      <c r="H517" t="s">
        <v>18</v>
      </c>
      <c r="I517" t="s">
        <v>75</v>
      </c>
      <c r="J517">
        <v>6</v>
      </c>
      <c r="K517" t="s">
        <v>28</v>
      </c>
      <c r="L517">
        <v>3</v>
      </c>
      <c r="M517">
        <v>7</v>
      </c>
    </row>
    <row r="518" spans="1:13" x14ac:dyDescent="0.3">
      <c r="A518">
        <v>517</v>
      </c>
      <c r="B518">
        <v>19</v>
      </c>
      <c r="C518" t="s">
        <v>13</v>
      </c>
      <c r="D518" t="s">
        <v>14</v>
      </c>
      <c r="E518" t="s">
        <v>113</v>
      </c>
      <c r="F518" t="s">
        <v>95</v>
      </c>
      <c r="G518" t="s">
        <v>17</v>
      </c>
      <c r="H518" t="s">
        <v>18</v>
      </c>
      <c r="I518" t="s">
        <v>134</v>
      </c>
      <c r="J518">
        <v>5</v>
      </c>
      <c r="K518" t="s">
        <v>20</v>
      </c>
      <c r="L518">
        <v>4</v>
      </c>
      <c r="M518">
        <v>8</v>
      </c>
    </row>
    <row r="519" spans="1:13" x14ac:dyDescent="0.3">
      <c r="A519">
        <v>518</v>
      </c>
      <c r="B519">
        <v>21</v>
      </c>
      <c r="C519" t="s">
        <v>21</v>
      </c>
      <c r="D519" t="s">
        <v>22</v>
      </c>
      <c r="E519" t="s">
        <v>145</v>
      </c>
      <c r="F519" t="s">
        <v>199</v>
      </c>
      <c r="G519" t="s">
        <v>41</v>
      </c>
      <c r="H519" t="s">
        <v>26</v>
      </c>
      <c r="I519" t="s">
        <v>47</v>
      </c>
      <c r="J519">
        <v>7</v>
      </c>
      <c r="K519" t="s">
        <v>28</v>
      </c>
      <c r="L519">
        <v>2</v>
      </c>
      <c r="M519">
        <v>5</v>
      </c>
    </row>
    <row r="520" spans="1:13" x14ac:dyDescent="0.3">
      <c r="A520">
        <v>519</v>
      </c>
      <c r="B520">
        <v>20</v>
      </c>
      <c r="C520" t="s">
        <v>13</v>
      </c>
      <c r="D520" t="s">
        <v>14</v>
      </c>
      <c r="E520" t="s">
        <v>23</v>
      </c>
      <c r="F520" t="s">
        <v>90</v>
      </c>
      <c r="G520" t="s">
        <v>214</v>
      </c>
      <c r="H520" t="s">
        <v>18</v>
      </c>
      <c r="I520" t="s">
        <v>78</v>
      </c>
      <c r="J520">
        <v>5</v>
      </c>
      <c r="K520" t="s">
        <v>20</v>
      </c>
      <c r="L520">
        <v>4</v>
      </c>
      <c r="M520">
        <v>8</v>
      </c>
    </row>
    <row r="521" spans="1:13" x14ac:dyDescent="0.3">
      <c r="A521">
        <v>520</v>
      </c>
      <c r="B521">
        <v>22</v>
      </c>
      <c r="C521" t="s">
        <v>21</v>
      </c>
      <c r="D521" t="s">
        <v>22</v>
      </c>
      <c r="E521" t="s">
        <v>39</v>
      </c>
      <c r="F521" t="s">
        <v>77</v>
      </c>
      <c r="G521" t="s">
        <v>31</v>
      </c>
      <c r="H521" t="s">
        <v>18</v>
      </c>
      <c r="I521" t="s">
        <v>27</v>
      </c>
      <c r="J521">
        <v>7</v>
      </c>
      <c r="K521" t="s">
        <v>28</v>
      </c>
      <c r="L521">
        <v>3</v>
      </c>
      <c r="M521">
        <v>6</v>
      </c>
    </row>
    <row r="522" spans="1:13" x14ac:dyDescent="0.3">
      <c r="A522">
        <v>521</v>
      </c>
      <c r="B522">
        <v>19</v>
      </c>
      <c r="C522" t="s">
        <v>13</v>
      </c>
      <c r="D522" t="s">
        <v>14</v>
      </c>
      <c r="E522" t="s">
        <v>48</v>
      </c>
      <c r="F522" t="s">
        <v>30</v>
      </c>
      <c r="G522" t="s">
        <v>214</v>
      </c>
      <c r="H522" t="s">
        <v>18</v>
      </c>
      <c r="I522" t="s">
        <v>19</v>
      </c>
      <c r="J522">
        <v>6</v>
      </c>
      <c r="K522" t="s">
        <v>28</v>
      </c>
      <c r="L522">
        <v>3</v>
      </c>
      <c r="M522">
        <v>7</v>
      </c>
    </row>
    <row r="523" spans="1:13" x14ac:dyDescent="0.3">
      <c r="A523">
        <v>522</v>
      </c>
      <c r="B523">
        <v>21</v>
      </c>
      <c r="C523" t="s">
        <v>21</v>
      </c>
      <c r="D523" t="s">
        <v>22</v>
      </c>
      <c r="E523" t="s">
        <v>66</v>
      </c>
      <c r="F523" t="s">
        <v>197</v>
      </c>
      <c r="G523" t="s">
        <v>222</v>
      </c>
      <c r="H523" t="s">
        <v>26</v>
      </c>
      <c r="I523" t="s">
        <v>47</v>
      </c>
      <c r="J523">
        <v>7</v>
      </c>
      <c r="K523" t="s">
        <v>20</v>
      </c>
      <c r="L523">
        <v>2</v>
      </c>
      <c r="M523">
        <v>5</v>
      </c>
    </row>
    <row r="524" spans="1:13" x14ac:dyDescent="0.3">
      <c r="A524">
        <v>523</v>
      </c>
      <c r="B524">
        <v>20</v>
      </c>
      <c r="C524" t="s">
        <v>13</v>
      </c>
      <c r="D524" t="s">
        <v>14</v>
      </c>
      <c r="E524" t="s">
        <v>76</v>
      </c>
      <c r="F524" t="s">
        <v>103</v>
      </c>
      <c r="G524" t="s">
        <v>17</v>
      </c>
      <c r="H524" t="s">
        <v>26</v>
      </c>
      <c r="I524" t="s">
        <v>204</v>
      </c>
      <c r="J524">
        <v>8</v>
      </c>
      <c r="K524" t="s">
        <v>28</v>
      </c>
      <c r="L524">
        <v>2</v>
      </c>
      <c r="M524">
        <v>4</v>
      </c>
    </row>
    <row r="525" spans="1:13" x14ac:dyDescent="0.3">
      <c r="A525">
        <v>524</v>
      </c>
      <c r="B525">
        <v>22</v>
      </c>
      <c r="C525" t="s">
        <v>21</v>
      </c>
      <c r="D525" t="s">
        <v>22</v>
      </c>
      <c r="E525" t="s">
        <v>93</v>
      </c>
      <c r="F525" t="s">
        <v>40</v>
      </c>
      <c r="G525" t="s">
        <v>41</v>
      </c>
      <c r="H525" t="s">
        <v>18</v>
      </c>
      <c r="I525" t="s">
        <v>198</v>
      </c>
      <c r="J525">
        <v>7</v>
      </c>
      <c r="K525" t="s">
        <v>20</v>
      </c>
      <c r="L525">
        <v>3</v>
      </c>
      <c r="M525">
        <v>6</v>
      </c>
    </row>
    <row r="526" spans="1:13" x14ac:dyDescent="0.3">
      <c r="A526">
        <v>525</v>
      </c>
      <c r="B526">
        <v>19</v>
      </c>
      <c r="C526" t="s">
        <v>13</v>
      </c>
      <c r="D526" t="s">
        <v>14</v>
      </c>
      <c r="E526" t="s">
        <v>96</v>
      </c>
      <c r="F526" t="s">
        <v>80</v>
      </c>
      <c r="G526" t="s">
        <v>31</v>
      </c>
      <c r="H526" t="s">
        <v>18</v>
      </c>
      <c r="I526" t="s">
        <v>65</v>
      </c>
      <c r="J526">
        <v>6</v>
      </c>
      <c r="K526" t="s">
        <v>28</v>
      </c>
      <c r="L526">
        <v>3</v>
      </c>
      <c r="M526">
        <v>7</v>
      </c>
    </row>
    <row r="527" spans="1:13" x14ac:dyDescent="0.3">
      <c r="A527">
        <v>526</v>
      </c>
      <c r="B527">
        <v>21</v>
      </c>
      <c r="C527" t="s">
        <v>21</v>
      </c>
      <c r="D527" t="s">
        <v>22</v>
      </c>
      <c r="E527" t="s">
        <v>98</v>
      </c>
      <c r="F527" t="s">
        <v>72</v>
      </c>
      <c r="G527" t="s">
        <v>214</v>
      </c>
      <c r="H527" t="s">
        <v>18</v>
      </c>
      <c r="I527" t="s">
        <v>95</v>
      </c>
      <c r="J527">
        <v>6</v>
      </c>
      <c r="K527" t="s">
        <v>28</v>
      </c>
      <c r="L527">
        <v>3</v>
      </c>
      <c r="M527">
        <v>7</v>
      </c>
    </row>
    <row r="528" spans="1:13" x14ac:dyDescent="0.3">
      <c r="A528">
        <v>527</v>
      </c>
      <c r="B528">
        <v>20</v>
      </c>
      <c r="C528" t="s">
        <v>13</v>
      </c>
      <c r="D528" t="s">
        <v>14</v>
      </c>
      <c r="E528" t="s">
        <v>113</v>
      </c>
      <c r="F528" t="s">
        <v>75</v>
      </c>
      <c r="G528" t="s">
        <v>17</v>
      </c>
      <c r="H528" t="s">
        <v>18</v>
      </c>
      <c r="I528" t="s">
        <v>132</v>
      </c>
      <c r="J528">
        <v>5</v>
      </c>
      <c r="K528" t="s">
        <v>20</v>
      </c>
      <c r="L528">
        <v>4</v>
      </c>
      <c r="M528">
        <v>8</v>
      </c>
    </row>
    <row r="529" spans="1:13" x14ac:dyDescent="0.3">
      <c r="A529">
        <v>528</v>
      </c>
      <c r="B529">
        <v>22</v>
      </c>
      <c r="C529" t="s">
        <v>21</v>
      </c>
      <c r="D529" t="s">
        <v>22</v>
      </c>
      <c r="E529" t="s">
        <v>145</v>
      </c>
      <c r="F529" t="s">
        <v>52</v>
      </c>
      <c r="G529" t="s">
        <v>41</v>
      </c>
      <c r="H529" t="s">
        <v>26</v>
      </c>
      <c r="I529" t="s">
        <v>201</v>
      </c>
      <c r="J529">
        <v>7</v>
      </c>
      <c r="K529" t="s">
        <v>28</v>
      </c>
      <c r="L529">
        <v>2</v>
      </c>
      <c r="M529">
        <v>5</v>
      </c>
    </row>
    <row r="530" spans="1:13" x14ac:dyDescent="0.3">
      <c r="A530">
        <v>529</v>
      </c>
      <c r="B530">
        <v>19</v>
      </c>
      <c r="C530" t="s">
        <v>13</v>
      </c>
      <c r="D530" t="s">
        <v>14</v>
      </c>
      <c r="E530" t="s">
        <v>23</v>
      </c>
      <c r="F530" t="s">
        <v>38</v>
      </c>
      <c r="G530" t="s">
        <v>214</v>
      </c>
      <c r="H530" t="s">
        <v>18</v>
      </c>
      <c r="I530" t="s">
        <v>49</v>
      </c>
      <c r="J530">
        <v>5</v>
      </c>
      <c r="K530" t="s">
        <v>20</v>
      </c>
      <c r="L530">
        <v>4</v>
      </c>
      <c r="M530">
        <v>8</v>
      </c>
    </row>
    <row r="531" spans="1:13" x14ac:dyDescent="0.3">
      <c r="A531">
        <v>530</v>
      </c>
      <c r="B531">
        <v>21</v>
      </c>
      <c r="C531" t="s">
        <v>21</v>
      </c>
      <c r="D531" t="s">
        <v>22</v>
      </c>
      <c r="E531" t="s">
        <v>39</v>
      </c>
      <c r="F531" t="s">
        <v>123</v>
      </c>
      <c r="G531" t="s">
        <v>17</v>
      </c>
      <c r="H531" t="s">
        <v>18</v>
      </c>
      <c r="I531" t="s">
        <v>196</v>
      </c>
      <c r="J531">
        <v>7</v>
      </c>
      <c r="K531" t="s">
        <v>28</v>
      </c>
      <c r="L531">
        <v>3</v>
      </c>
      <c r="M531">
        <v>6</v>
      </c>
    </row>
    <row r="532" spans="1:13" x14ac:dyDescent="0.3">
      <c r="A532">
        <v>531</v>
      </c>
      <c r="B532">
        <v>20</v>
      </c>
      <c r="C532" t="s">
        <v>13</v>
      </c>
      <c r="D532" t="s">
        <v>14</v>
      </c>
      <c r="E532" t="s">
        <v>48</v>
      </c>
      <c r="F532" t="s">
        <v>78</v>
      </c>
      <c r="G532" t="s">
        <v>31</v>
      </c>
      <c r="H532" t="s">
        <v>18</v>
      </c>
      <c r="I532" t="s">
        <v>95</v>
      </c>
      <c r="J532">
        <v>6</v>
      </c>
      <c r="K532" t="s">
        <v>28</v>
      </c>
      <c r="L532">
        <v>3</v>
      </c>
      <c r="M532">
        <v>7</v>
      </c>
    </row>
    <row r="533" spans="1:13" x14ac:dyDescent="0.3">
      <c r="A533">
        <v>532</v>
      </c>
      <c r="B533">
        <v>22</v>
      </c>
      <c r="C533" t="s">
        <v>21</v>
      </c>
      <c r="D533" t="s">
        <v>22</v>
      </c>
      <c r="E533" t="s">
        <v>66</v>
      </c>
      <c r="F533" t="s">
        <v>67</v>
      </c>
      <c r="G533" t="s">
        <v>222</v>
      </c>
      <c r="H533" t="s">
        <v>26</v>
      </c>
      <c r="I533" t="s">
        <v>201</v>
      </c>
      <c r="J533">
        <v>7</v>
      </c>
      <c r="K533" t="s">
        <v>20</v>
      </c>
      <c r="L533">
        <v>2</v>
      </c>
      <c r="M533">
        <v>5</v>
      </c>
    </row>
    <row r="534" spans="1:13" x14ac:dyDescent="0.3">
      <c r="A534">
        <v>533</v>
      </c>
      <c r="B534">
        <v>19</v>
      </c>
      <c r="C534" t="s">
        <v>13</v>
      </c>
      <c r="D534" t="s">
        <v>14</v>
      </c>
      <c r="E534" t="s">
        <v>76</v>
      </c>
      <c r="F534" t="s">
        <v>74</v>
      </c>
      <c r="G534" t="s">
        <v>17</v>
      </c>
      <c r="H534" t="s">
        <v>26</v>
      </c>
      <c r="I534" t="s">
        <v>205</v>
      </c>
      <c r="J534">
        <v>8</v>
      </c>
      <c r="K534" t="s">
        <v>28</v>
      </c>
      <c r="L534">
        <v>2</v>
      </c>
      <c r="M534">
        <v>4</v>
      </c>
    </row>
    <row r="535" spans="1:13" x14ac:dyDescent="0.3">
      <c r="A535">
        <v>534</v>
      </c>
      <c r="B535">
        <v>21</v>
      </c>
      <c r="C535" t="s">
        <v>21</v>
      </c>
      <c r="D535" t="s">
        <v>22</v>
      </c>
      <c r="E535" t="s">
        <v>93</v>
      </c>
      <c r="F535" t="s">
        <v>97</v>
      </c>
      <c r="G535" t="s">
        <v>41</v>
      </c>
      <c r="H535" t="s">
        <v>18</v>
      </c>
      <c r="I535" t="s">
        <v>70</v>
      </c>
      <c r="J535">
        <v>7</v>
      </c>
      <c r="K535" t="s">
        <v>20</v>
      </c>
      <c r="L535">
        <v>3</v>
      </c>
      <c r="M535">
        <v>6</v>
      </c>
    </row>
    <row r="536" spans="1:13" x14ac:dyDescent="0.3">
      <c r="A536">
        <v>535</v>
      </c>
      <c r="B536">
        <v>20</v>
      </c>
      <c r="C536" t="s">
        <v>13</v>
      </c>
      <c r="D536" t="s">
        <v>14</v>
      </c>
      <c r="E536" t="s">
        <v>96</v>
      </c>
      <c r="F536" t="s">
        <v>87</v>
      </c>
      <c r="G536" t="s">
        <v>31</v>
      </c>
      <c r="H536" t="s">
        <v>18</v>
      </c>
      <c r="I536" t="s">
        <v>75</v>
      </c>
      <c r="J536">
        <v>6</v>
      </c>
      <c r="K536" t="s">
        <v>28</v>
      </c>
      <c r="L536">
        <v>3</v>
      </c>
      <c r="M536">
        <v>7</v>
      </c>
    </row>
    <row r="537" spans="1:13" x14ac:dyDescent="0.3">
      <c r="A537">
        <v>536</v>
      </c>
      <c r="B537">
        <v>22</v>
      </c>
      <c r="C537" t="s">
        <v>21</v>
      </c>
      <c r="D537" t="s">
        <v>22</v>
      </c>
      <c r="E537" t="s">
        <v>98</v>
      </c>
      <c r="F537" t="s">
        <v>49</v>
      </c>
      <c r="G537" t="s">
        <v>214</v>
      </c>
      <c r="H537" t="s">
        <v>18</v>
      </c>
      <c r="I537" t="s">
        <v>19</v>
      </c>
      <c r="J537">
        <v>6</v>
      </c>
      <c r="K537" t="s">
        <v>28</v>
      </c>
      <c r="L537">
        <v>3</v>
      </c>
      <c r="M537">
        <v>7</v>
      </c>
    </row>
    <row r="538" spans="1:13" x14ac:dyDescent="0.3">
      <c r="A538">
        <v>537</v>
      </c>
      <c r="B538">
        <v>19</v>
      </c>
      <c r="C538" t="s">
        <v>13</v>
      </c>
      <c r="D538" t="s">
        <v>14</v>
      </c>
      <c r="E538" t="s">
        <v>113</v>
      </c>
      <c r="F538" t="s">
        <v>65</v>
      </c>
      <c r="G538" t="s">
        <v>17</v>
      </c>
      <c r="H538" t="s">
        <v>18</v>
      </c>
      <c r="I538" t="s">
        <v>57</v>
      </c>
      <c r="J538">
        <v>5</v>
      </c>
      <c r="K538" t="s">
        <v>20</v>
      </c>
      <c r="L538">
        <v>4</v>
      </c>
      <c r="M538">
        <v>8</v>
      </c>
    </row>
    <row r="539" spans="1:13" x14ac:dyDescent="0.3">
      <c r="A539">
        <v>538</v>
      </c>
      <c r="B539">
        <v>21</v>
      </c>
      <c r="C539" t="s">
        <v>21</v>
      </c>
      <c r="D539" t="s">
        <v>22</v>
      </c>
      <c r="E539" t="s">
        <v>145</v>
      </c>
      <c r="F539" t="s">
        <v>116</v>
      </c>
      <c r="G539" t="s">
        <v>41</v>
      </c>
      <c r="H539" t="s">
        <v>26</v>
      </c>
      <c r="I539" t="s">
        <v>202</v>
      </c>
      <c r="J539">
        <v>7</v>
      </c>
      <c r="K539" t="s">
        <v>28</v>
      </c>
      <c r="L539">
        <v>2</v>
      </c>
      <c r="M539">
        <v>5</v>
      </c>
    </row>
    <row r="540" spans="1:13" x14ac:dyDescent="0.3">
      <c r="A540">
        <v>539</v>
      </c>
      <c r="B540">
        <v>20</v>
      </c>
      <c r="C540" t="s">
        <v>13</v>
      </c>
      <c r="D540" t="s">
        <v>14</v>
      </c>
      <c r="E540" t="s">
        <v>23</v>
      </c>
      <c r="F540" t="s">
        <v>127</v>
      </c>
      <c r="G540" t="s">
        <v>214</v>
      </c>
      <c r="H540" t="s">
        <v>18</v>
      </c>
      <c r="I540" t="s">
        <v>72</v>
      </c>
      <c r="J540">
        <v>5</v>
      </c>
      <c r="K540" t="s">
        <v>20</v>
      </c>
      <c r="L540">
        <v>4</v>
      </c>
      <c r="M540">
        <v>8</v>
      </c>
    </row>
    <row r="541" spans="1:13" x14ac:dyDescent="0.3">
      <c r="A541">
        <v>540</v>
      </c>
      <c r="B541">
        <v>22</v>
      </c>
      <c r="C541" t="s">
        <v>21</v>
      </c>
      <c r="D541" t="s">
        <v>22</v>
      </c>
      <c r="E541" t="s">
        <v>39</v>
      </c>
      <c r="F541" t="s">
        <v>40</v>
      </c>
      <c r="G541" t="s">
        <v>31</v>
      </c>
      <c r="H541" t="s">
        <v>18</v>
      </c>
      <c r="I541" t="s">
        <v>198</v>
      </c>
      <c r="J541">
        <v>7</v>
      </c>
      <c r="K541" t="s">
        <v>28</v>
      </c>
      <c r="L541">
        <v>3</v>
      </c>
      <c r="M541">
        <v>6</v>
      </c>
    </row>
    <row r="542" spans="1:13" x14ac:dyDescent="0.3">
      <c r="A542">
        <v>541</v>
      </c>
      <c r="B542">
        <v>19</v>
      </c>
      <c r="C542" t="s">
        <v>13</v>
      </c>
      <c r="D542" t="s">
        <v>14</v>
      </c>
      <c r="E542" t="s">
        <v>48</v>
      </c>
      <c r="F542" t="s">
        <v>49</v>
      </c>
      <c r="G542" t="s">
        <v>214</v>
      </c>
      <c r="H542" t="s">
        <v>18</v>
      </c>
      <c r="I542" t="s">
        <v>75</v>
      </c>
      <c r="J542">
        <v>6</v>
      </c>
      <c r="K542" t="s">
        <v>28</v>
      </c>
      <c r="L542">
        <v>3</v>
      </c>
      <c r="M542">
        <v>7</v>
      </c>
    </row>
    <row r="543" spans="1:13" x14ac:dyDescent="0.3">
      <c r="A543">
        <v>542</v>
      </c>
      <c r="B543">
        <v>21</v>
      </c>
      <c r="C543" t="s">
        <v>21</v>
      </c>
      <c r="D543" t="s">
        <v>22</v>
      </c>
      <c r="E543" t="s">
        <v>66</v>
      </c>
      <c r="F543" t="s">
        <v>199</v>
      </c>
      <c r="G543" t="s">
        <v>222</v>
      </c>
      <c r="H543" t="s">
        <v>26</v>
      </c>
      <c r="I543" t="s">
        <v>202</v>
      </c>
      <c r="J543">
        <v>7</v>
      </c>
      <c r="K543" t="s">
        <v>20</v>
      </c>
      <c r="L543">
        <v>2</v>
      </c>
      <c r="M543">
        <v>5</v>
      </c>
    </row>
    <row r="544" spans="1:13" x14ac:dyDescent="0.3">
      <c r="A544">
        <v>543</v>
      </c>
      <c r="B544">
        <v>20</v>
      </c>
      <c r="C544" t="s">
        <v>13</v>
      </c>
      <c r="D544" t="s">
        <v>14</v>
      </c>
      <c r="E544" t="s">
        <v>76</v>
      </c>
      <c r="F544" t="s">
        <v>206</v>
      </c>
      <c r="G544" t="s">
        <v>17</v>
      </c>
      <c r="H544" t="s">
        <v>26</v>
      </c>
      <c r="I544" t="s">
        <v>207</v>
      </c>
      <c r="J544">
        <v>8</v>
      </c>
      <c r="K544" t="s">
        <v>28</v>
      </c>
      <c r="L544">
        <v>2</v>
      </c>
      <c r="M544">
        <v>4</v>
      </c>
    </row>
    <row r="545" spans="1:13" x14ac:dyDescent="0.3">
      <c r="A545">
        <v>544</v>
      </c>
      <c r="B545">
        <v>22</v>
      </c>
      <c r="C545" t="s">
        <v>21</v>
      </c>
      <c r="D545" t="s">
        <v>22</v>
      </c>
      <c r="E545" t="s">
        <v>93</v>
      </c>
      <c r="F545" t="s">
        <v>197</v>
      </c>
      <c r="G545" t="s">
        <v>17</v>
      </c>
      <c r="H545" t="s">
        <v>18</v>
      </c>
      <c r="I545" t="s">
        <v>200</v>
      </c>
      <c r="J545">
        <v>7</v>
      </c>
      <c r="K545" t="s">
        <v>20</v>
      </c>
      <c r="L545">
        <v>3</v>
      </c>
      <c r="M545">
        <v>6</v>
      </c>
    </row>
    <row r="546" spans="1:13" x14ac:dyDescent="0.3">
      <c r="A546">
        <v>545</v>
      </c>
      <c r="B546">
        <v>19</v>
      </c>
      <c r="C546" t="s">
        <v>13</v>
      </c>
      <c r="D546" t="s">
        <v>14</v>
      </c>
      <c r="E546" t="s">
        <v>96</v>
      </c>
      <c r="F546" t="s">
        <v>59</v>
      </c>
      <c r="G546" t="s">
        <v>31</v>
      </c>
      <c r="H546" t="s">
        <v>18</v>
      </c>
      <c r="I546" t="s">
        <v>95</v>
      </c>
      <c r="J546">
        <v>6</v>
      </c>
      <c r="K546" t="s">
        <v>28</v>
      </c>
      <c r="L546">
        <v>3</v>
      </c>
      <c r="M546">
        <v>7</v>
      </c>
    </row>
    <row r="547" spans="1:13" x14ac:dyDescent="0.3">
      <c r="A547">
        <v>546</v>
      </c>
      <c r="B547">
        <v>21</v>
      </c>
      <c r="C547" t="s">
        <v>21</v>
      </c>
      <c r="D547" t="s">
        <v>22</v>
      </c>
      <c r="E547" t="s">
        <v>98</v>
      </c>
      <c r="F547" t="s">
        <v>78</v>
      </c>
      <c r="G547" t="s">
        <v>214</v>
      </c>
      <c r="H547" t="s">
        <v>18</v>
      </c>
      <c r="I547" t="s">
        <v>134</v>
      </c>
      <c r="J547">
        <v>6</v>
      </c>
      <c r="K547" t="s">
        <v>28</v>
      </c>
      <c r="L547">
        <v>3</v>
      </c>
      <c r="M547">
        <v>7</v>
      </c>
    </row>
    <row r="548" spans="1:13" x14ac:dyDescent="0.3">
      <c r="A548">
        <v>547</v>
      </c>
      <c r="B548">
        <v>20</v>
      </c>
      <c r="C548" t="s">
        <v>13</v>
      </c>
      <c r="D548" t="s">
        <v>14</v>
      </c>
      <c r="E548" t="s">
        <v>113</v>
      </c>
      <c r="F548" t="s">
        <v>90</v>
      </c>
      <c r="G548" t="s">
        <v>17</v>
      </c>
      <c r="H548" t="s">
        <v>18</v>
      </c>
      <c r="I548" t="s">
        <v>92</v>
      </c>
      <c r="J548">
        <v>5</v>
      </c>
      <c r="K548" t="s">
        <v>20</v>
      </c>
      <c r="L548">
        <v>4</v>
      </c>
      <c r="M548">
        <v>8</v>
      </c>
    </row>
    <row r="549" spans="1:13" x14ac:dyDescent="0.3">
      <c r="A549">
        <v>548</v>
      </c>
      <c r="B549">
        <v>22</v>
      </c>
      <c r="C549" t="s">
        <v>21</v>
      </c>
      <c r="D549" t="s">
        <v>22</v>
      </c>
      <c r="E549" t="s">
        <v>145</v>
      </c>
      <c r="F549" t="s">
        <v>94</v>
      </c>
      <c r="G549" t="s">
        <v>41</v>
      </c>
      <c r="H549" t="s">
        <v>26</v>
      </c>
      <c r="I549" t="s">
        <v>203</v>
      </c>
      <c r="J549">
        <v>7</v>
      </c>
      <c r="K549" t="s">
        <v>28</v>
      </c>
      <c r="L549">
        <v>2</v>
      </c>
      <c r="M549">
        <v>5</v>
      </c>
    </row>
    <row r="550" spans="1:13" x14ac:dyDescent="0.3">
      <c r="A550">
        <v>549</v>
      </c>
      <c r="B550">
        <v>19</v>
      </c>
      <c r="C550" t="s">
        <v>13</v>
      </c>
      <c r="D550" t="s">
        <v>14</v>
      </c>
      <c r="E550" t="s">
        <v>23</v>
      </c>
      <c r="F550" t="s">
        <v>43</v>
      </c>
      <c r="G550" t="s">
        <v>214</v>
      </c>
      <c r="H550" t="s">
        <v>18</v>
      </c>
      <c r="I550" t="s">
        <v>110</v>
      </c>
      <c r="J550">
        <v>5</v>
      </c>
      <c r="K550" t="s">
        <v>20</v>
      </c>
      <c r="L550">
        <v>4</v>
      </c>
      <c r="M550">
        <v>8</v>
      </c>
    </row>
    <row r="551" spans="1:13" x14ac:dyDescent="0.3">
      <c r="A551">
        <v>550</v>
      </c>
      <c r="B551">
        <v>21</v>
      </c>
      <c r="C551" t="s">
        <v>21</v>
      </c>
      <c r="D551" t="s">
        <v>22</v>
      </c>
      <c r="E551" t="s">
        <v>39</v>
      </c>
      <c r="F551" t="s">
        <v>97</v>
      </c>
      <c r="G551" t="s">
        <v>17</v>
      </c>
      <c r="H551" t="s">
        <v>18</v>
      </c>
      <c r="I551" t="s">
        <v>70</v>
      </c>
      <c r="J551">
        <v>7</v>
      </c>
      <c r="K551" t="s">
        <v>28</v>
      </c>
      <c r="L551">
        <v>3</v>
      </c>
      <c r="M551">
        <v>6</v>
      </c>
    </row>
    <row r="552" spans="1:13" x14ac:dyDescent="0.3">
      <c r="A552">
        <v>551</v>
      </c>
      <c r="B552">
        <v>20</v>
      </c>
      <c r="C552" t="s">
        <v>13</v>
      </c>
      <c r="D552" t="s">
        <v>14</v>
      </c>
      <c r="E552" t="s">
        <v>48</v>
      </c>
      <c r="F552" t="s">
        <v>72</v>
      </c>
      <c r="G552" t="s">
        <v>31</v>
      </c>
      <c r="H552" t="s">
        <v>18</v>
      </c>
      <c r="I552" t="s">
        <v>65</v>
      </c>
      <c r="J552">
        <v>6</v>
      </c>
      <c r="K552" t="s">
        <v>28</v>
      </c>
      <c r="L552">
        <v>3</v>
      </c>
      <c r="M552">
        <v>7</v>
      </c>
    </row>
    <row r="553" spans="1:13" x14ac:dyDescent="0.3">
      <c r="A553">
        <v>552</v>
      </c>
      <c r="B553">
        <v>22</v>
      </c>
      <c r="C553" t="s">
        <v>21</v>
      </c>
      <c r="D553" t="s">
        <v>22</v>
      </c>
      <c r="E553" t="s">
        <v>66</v>
      </c>
      <c r="F553" t="s">
        <v>52</v>
      </c>
      <c r="G553" t="s">
        <v>222</v>
      </c>
      <c r="H553" t="s">
        <v>26</v>
      </c>
      <c r="I553" t="s">
        <v>203</v>
      </c>
      <c r="J553">
        <v>7</v>
      </c>
      <c r="K553" t="s">
        <v>20</v>
      </c>
      <c r="L553">
        <v>2</v>
      </c>
      <c r="M553">
        <v>5</v>
      </c>
    </row>
    <row r="554" spans="1:13" x14ac:dyDescent="0.3">
      <c r="A554">
        <v>553</v>
      </c>
      <c r="B554">
        <v>19</v>
      </c>
      <c r="C554" t="s">
        <v>13</v>
      </c>
      <c r="D554" t="s">
        <v>14</v>
      </c>
      <c r="E554" t="s">
        <v>76</v>
      </c>
      <c r="F554" t="s">
        <v>54</v>
      </c>
      <c r="G554" t="s">
        <v>17</v>
      </c>
      <c r="H554" t="s">
        <v>26</v>
      </c>
      <c r="I554" t="s">
        <v>208</v>
      </c>
      <c r="J554">
        <v>8</v>
      </c>
      <c r="K554" t="s">
        <v>28</v>
      </c>
      <c r="L554">
        <v>2</v>
      </c>
      <c r="M554">
        <v>4</v>
      </c>
    </row>
    <row r="555" spans="1:13" x14ac:dyDescent="0.3">
      <c r="A555">
        <v>554</v>
      </c>
      <c r="B555">
        <v>21</v>
      </c>
      <c r="C555" t="s">
        <v>21</v>
      </c>
      <c r="D555" t="s">
        <v>22</v>
      </c>
      <c r="E555" t="s">
        <v>93</v>
      </c>
      <c r="F555" t="s">
        <v>67</v>
      </c>
      <c r="G555" t="s">
        <v>41</v>
      </c>
      <c r="H555" t="s">
        <v>18</v>
      </c>
      <c r="I555" t="s">
        <v>47</v>
      </c>
      <c r="J555">
        <v>7</v>
      </c>
      <c r="K555" t="s">
        <v>20</v>
      </c>
      <c r="L555">
        <v>3</v>
      </c>
      <c r="M555">
        <v>6</v>
      </c>
    </row>
    <row r="556" spans="1:13" x14ac:dyDescent="0.3">
      <c r="A556">
        <v>555</v>
      </c>
      <c r="B556">
        <v>20</v>
      </c>
      <c r="C556" t="s">
        <v>13</v>
      </c>
      <c r="D556" t="s">
        <v>14</v>
      </c>
      <c r="E556" t="s">
        <v>96</v>
      </c>
      <c r="F556" t="s">
        <v>110</v>
      </c>
      <c r="G556" t="s">
        <v>31</v>
      </c>
      <c r="H556" t="s">
        <v>18</v>
      </c>
      <c r="I556" t="s">
        <v>19</v>
      </c>
      <c r="J556">
        <v>6</v>
      </c>
      <c r="K556" t="s">
        <v>28</v>
      </c>
      <c r="L556">
        <v>3</v>
      </c>
      <c r="M556">
        <v>7</v>
      </c>
    </row>
    <row r="557" spans="1:13" x14ac:dyDescent="0.3">
      <c r="A557">
        <v>556</v>
      </c>
      <c r="B557">
        <v>22</v>
      </c>
      <c r="C557" t="s">
        <v>21</v>
      </c>
      <c r="D557" t="s">
        <v>22</v>
      </c>
      <c r="E557" t="s">
        <v>98</v>
      </c>
      <c r="F557" t="s">
        <v>30</v>
      </c>
      <c r="G557" t="s">
        <v>214</v>
      </c>
      <c r="H557" t="s">
        <v>18</v>
      </c>
      <c r="I557" t="s">
        <v>132</v>
      </c>
      <c r="J557">
        <v>6</v>
      </c>
      <c r="K557" t="s">
        <v>28</v>
      </c>
      <c r="L557">
        <v>3</v>
      </c>
      <c r="M557">
        <v>7</v>
      </c>
    </row>
    <row r="558" spans="1:13" x14ac:dyDescent="0.3">
      <c r="A558">
        <v>557</v>
      </c>
      <c r="B558">
        <v>19</v>
      </c>
      <c r="C558" t="s">
        <v>13</v>
      </c>
      <c r="D558" t="s">
        <v>14</v>
      </c>
      <c r="E558" t="s">
        <v>113</v>
      </c>
      <c r="F558" t="s">
        <v>38</v>
      </c>
      <c r="G558" t="s">
        <v>17</v>
      </c>
      <c r="H558" t="s">
        <v>18</v>
      </c>
      <c r="I558" t="s">
        <v>30</v>
      </c>
      <c r="J558">
        <v>5</v>
      </c>
      <c r="K558" t="s">
        <v>20</v>
      </c>
      <c r="L558">
        <v>4</v>
      </c>
      <c r="M558">
        <v>8</v>
      </c>
    </row>
    <row r="559" spans="1:13" x14ac:dyDescent="0.3">
      <c r="A559">
        <v>558</v>
      </c>
      <c r="B559">
        <v>21</v>
      </c>
      <c r="C559" t="s">
        <v>21</v>
      </c>
      <c r="D559" t="s">
        <v>22</v>
      </c>
      <c r="E559" t="s">
        <v>145</v>
      </c>
      <c r="F559" t="s">
        <v>64</v>
      </c>
      <c r="G559" t="s">
        <v>41</v>
      </c>
      <c r="H559" t="s">
        <v>26</v>
      </c>
      <c r="I559" t="s">
        <v>204</v>
      </c>
      <c r="J559">
        <v>7</v>
      </c>
      <c r="K559" t="s">
        <v>28</v>
      </c>
      <c r="L559">
        <v>2</v>
      </c>
      <c r="M559">
        <v>5</v>
      </c>
    </row>
    <row r="560" spans="1:13" x14ac:dyDescent="0.3">
      <c r="A560">
        <v>559</v>
      </c>
      <c r="B560">
        <v>20</v>
      </c>
      <c r="C560" t="s">
        <v>13</v>
      </c>
      <c r="D560" t="s">
        <v>14</v>
      </c>
      <c r="E560" t="s">
        <v>23</v>
      </c>
      <c r="F560" t="s">
        <v>83</v>
      </c>
      <c r="G560" t="s">
        <v>214</v>
      </c>
      <c r="H560" t="s">
        <v>18</v>
      </c>
      <c r="I560" t="s">
        <v>59</v>
      </c>
      <c r="J560">
        <v>5</v>
      </c>
      <c r="K560" t="s">
        <v>20</v>
      </c>
      <c r="L560">
        <v>4</v>
      </c>
      <c r="M560">
        <v>8</v>
      </c>
    </row>
    <row r="561" spans="1:13" x14ac:dyDescent="0.3">
      <c r="A561">
        <v>560</v>
      </c>
      <c r="B561">
        <v>22</v>
      </c>
      <c r="C561" t="s">
        <v>21</v>
      </c>
      <c r="D561" t="s">
        <v>22</v>
      </c>
      <c r="E561" t="s">
        <v>39</v>
      </c>
      <c r="F561" t="s">
        <v>197</v>
      </c>
      <c r="G561" t="s">
        <v>31</v>
      </c>
      <c r="H561" t="s">
        <v>18</v>
      </c>
      <c r="I561" t="s">
        <v>200</v>
      </c>
      <c r="J561">
        <v>7</v>
      </c>
      <c r="K561" t="s">
        <v>28</v>
      </c>
      <c r="L561">
        <v>3</v>
      </c>
      <c r="M561">
        <v>6</v>
      </c>
    </row>
    <row r="562" spans="1:13" x14ac:dyDescent="0.3">
      <c r="A562">
        <v>561</v>
      </c>
      <c r="B562">
        <v>19</v>
      </c>
      <c r="C562" t="s">
        <v>13</v>
      </c>
      <c r="D562" t="s">
        <v>14</v>
      </c>
      <c r="E562" t="s">
        <v>48</v>
      </c>
      <c r="F562" t="s">
        <v>110</v>
      </c>
      <c r="G562" t="s">
        <v>214</v>
      </c>
      <c r="H562" t="s">
        <v>18</v>
      </c>
      <c r="I562" t="s">
        <v>90</v>
      </c>
      <c r="J562">
        <v>6</v>
      </c>
      <c r="K562" t="s">
        <v>28</v>
      </c>
      <c r="L562">
        <v>3</v>
      </c>
      <c r="M562">
        <v>7</v>
      </c>
    </row>
    <row r="563" spans="1:13" x14ac:dyDescent="0.3">
      <c r="A563">
        <v>562</v>
      </c>
      <c r="B563">
        <v>21</v>
      </c>
      <c r="C563" t="s">
        <v>21</v>
      </c>
      <c r="D563" t="s">
        <v>22</v>
      </c>
      <c r="E563" t="s">
        <v>66</v>
      </c>
      <c r="F563" t="s">
        <v>116</v>
      </c>
      <c r="G563" t="s">
        <v>222</v>
      </c>
      <c r="H563" t="s">
        <v>26</v>
      </c>
      <c r="I563" t="s">
        <v>204</v>
      </c>
      <c r="J563">
        <v>7</v>
      </c>
      <c r="K563" t="s">
        <v>20</v>
      </c>
      <c r="L563">
        <v>2</v>
      </c>
      <c r="M563">
        <v>5</v>
      </c>
    </row>
    <row r="564" spans="1:13" x14ac:dyDescent="0.3">
      <c r="A564">
        <v>563</v>
      </c>
      <c r="B564">
        <v>20</v>
      </c>
      <c r="C564" t="s">
        <v>13</v>
      </c>
      <c r="D564" t="s">
        <v>14</v>
      </c>
      <c r="E564" t="s">
        <v>76</v>
      </c>
      <c r="F564" t="s">
        <v>89</v>
      </c>
      <c r="G564" t="s">
        <v>17</v>
      </c>
      <c r="H564" t="s">
        <v>26</v>
      </c>
      <c r="I564" t="s">
        <v>209</v>
      </c>
      <c r="J564">
        <v>8</v>
      </c>
      <c r="K564" t="s">
        <v>28</v>
      </c>
      <c r="L564">
        <v>2</v>
      </c>
      <c r="M564">
        <v>4</v>
      </c>
    </row>
    <row r="565" spans="1:13" x14ac:dyDescent="0.3">
      <c r="A565">
        <v>564</v>
      </c>
      <c r="B565">
        <v>22</v>
      </c>
      <c r="C565" t="s">
        <v>21</v>
      </c>
      <c r="D565" t="s">
        <v>22</v>
      </c>
      <c r="E565" t="s">
        <v>93</v>
      </c>
      <c r="F565" t="s">
        <v>199</v>
      </c>
      <c r="G565" t="s">
        <v>17</v>
      </c>
      <c r="H565" t="s">
        <v>18</v>
      </c>
      <c r="I565" t="s">
        <v>201</v>
      </c>
      <c r="J565">
        <v>7</v>
      </c>
      <c r="K565" t="s">
        <v>20</v>
      </c>
      <c r="L565">
        <v>3</v>
      </c>
      <c r="M565">
        <v>6</v>
      </c>
    </row>
    <row r="566" spans="1:13" x14ac:dyDescent="0.3">
      <c r="A566">
        <v>565</v>
      </c>
      <c r="B566">
        <v>19</v>
      </c>
      <c r="C566" t="s">
        <v>13</v>
      </c>
      <c r="D566" t="s">
        <v>14</v>
      </c>
      <c r="E566" t="s">
        <v>96</v>
      </c>
      <c r="F566" t="s">
        <v>72</v>
      </c>
      <c r="G566" t="s">
        <v>31</v>
      </c>
      <c r="H566" t="s">
        <v>18</v>
      </c>
      <c r="I566" t="s">
        <v>134</v>
      </c>
      <c r="J566">
        <v>6</v>
      </c>
      <c r="K566" t="s">
        <v>28</v>
      </c>
      <c r="L566">
        <v>3</v>
      </c>
      <c r="M566">
        <v>7</v>
      </c>
    </row>
    <row r="567" spans="1:13" x14ac:dyDescent="0.3">
      <c r="A567">
        <v>566</v>
      </c>
      <c r="B567">
        <v>21</v>
      </c>
      <c r="C567" t="s">
        <v>21</v>
      </c>
      <c r="D567" t="s">
        <v>22</v>
      </c>
      <c r="E567" t="s">
        <v>98</v>
      </c>
      <c r="F567" t="s">
        <v>92</v>
      </c>
      <c r="G567" t="s">
        <v>214</v>
      </c>
      <c r="H567" t="s">
        <v>18</v>
      </c>
      <c r="I567" t="s">
        <v>57</v>
      </c>
      <c r="J567">
        <v>6</v>
      </c>
      <c r="K567" t="s">
        <v>28</v>
      </c>
      <c r="L567">
        <v>3</v>
      </c>
      <c r="M567">
        <v>7</v>
      </c>
    </row>
    <row r="568" spans="1:13" x14ac:dyDescent="0.3">
      <c r="A568">
        <v>567</v>
      </c>
      <c r="B568">
        <v>20</v>
      </c>
      <c r="C568" t="s">
        <v>13</v>
      </c>
      <c r="D568" t="s">
        <v>14</v>
      </c>
      <c r="E568" t="s">
        <v>113</v>
      </c>
      <c r="F568" t="s">
        <v>127</v>
      </c>
      <c r="G568" t="s">
        <v>17</v>
      </c>
      <c r="H568" t="s">
        <v>18</v>
      </c>
      <c r="I568" t="s">
        <v>78</v>
      </c>
      <c r="J568">
        <v>5</v>
      </c>
      <c r="K568" t="s">
        <v>20</v>
      </c>
      <c r="L568">
        <v>4</v>
      </c>
      <c r="M568">
        <v>8</v>
      </c>
    </row>
    <row r="569" spans="1:13" x14ac:dyDescent="0.3">
      <c r="A569">
        <v>568</v>
      </c>
      <c r="B569">
        <v>22</v>
      </c>
      <c r="C569" t="s">
        <v>21</v>
      </c>
      <c r="D569" t="s">
        <v>22</v>
      </c>
      <c r="E569" t="s">
        <v>145</v>
      </c>
      <c r="F569" t="s">
        <v>103</v>
      </c>
      <c r="G569" t="s">
        <v>41</v>
      </c>
      <c r="H569" t="s">
        <v>26</v>
      </c>
      <c r="I569" t="s">
        <v>205</v>
      </c>
      <c r="J569">
        <v>7</v>
      </c>
      <c r="K569" t="s">
        <v>28</v>
      </c>
      <c r="L569">
        <v>2</v>
      </c>
      <c r="M569">
        <v>5</v>
      </c>
    </row>
    <row r="570" spans="1:13" x14ac:dyDescent="0.3">
      <c r="A570">
        <v>569</v>
      </c>
      <c r="B570">
        <v>19</v>
      </c>
      <c r="C570" t="s">
        <v>13</v>
      </c>
      <c r="D570" t="s">
        <v>14</v>
      </c>
      <c r="E570" t="s">
        <v>23</v>
      </c>
      <c r="F570" t="s">
        <v>100</v>
      </c>
      <c r="G570" t="s">
        <v>214</v>
      </c>
      <c r="H570" t="s">
        <v>18</v>
      </c>
      <c r="I570" t="s">
        <v>87</v>
      </c>
      <c r="J570">
        <v>5</v>
      </c>
      <c r="K570" t="s">
        <v>20</v>
      </c>
      <c r="L570">
        <v>4</v>
      </c>
      <c r="M570">
        <v>8</v>
      </c>
    </row>
    <row r="571" spans="1:13" x14ac:dyDescent="0.3">
      <c r="A571">
        <v>570</v>
      </c>
      <c r="B571">
        <v>21</v>
      </c>
      <c r="C571" t="s">
        <v>21</v>
      </c>
      <c r="D571" t="s">
        <v>22</v>
      </c>
      <c r="E571" t="s">
        <v>39</v>
      </c>
      <c r="F571" t="s">
        <v>67</v>
      </c>
      <c r="G571" t="s">
        <v>17</v>
      </c>
      <c r="H571" t="s">
        <v>18</v>
      </c>
      <c r="I571" t="s">
        <v>47</v>
      </c>
      <c r="J571">
        <v>7</v>
      </c>
      <c r="K571" t="s">
        <v>28</v>
      </c>
      <c r="L571">
        <v>3</v>
      </c>
      <c r="M571">
        <v>6</v>
      </c>
    </row>
    <row r="572" spans="1:13" x14ac:dyDescent="0.3">
      <c r="A572">
        <v>571</v>
      </c>
      <c r="B572">
        <v>20</v>
      </c>
      <c r="C572" t="s">
        <v>13</v>
      </c>
      <c r="D572" t="s">
        <v>14</v>
      </c>
      <c r="E572" t="s">
        <v>58</v>
      </c>
      <c r="F572" t="s">
        <v>92</v>
      </c>
      <c r="G572" t="s">
        <v>17</v>
      </c>
      <c r="H572" t="s">
        <v>18</v>
      </c>
      <c r="I572" t="s">
        <v>43</v>
      </c>
      <c r="J572">
        <v>5</v>
      </c>
      <c r="K572" t="s">
        <v>28</v>
      </c>
      <c r="L572">
        <v>4</v>
      </c>
      <c r="M572">
        <v>7</v>
      </c>
    </row>
    <row r="573" spans="1:13" x14ac:dyDescent="0.3">
      <c r="A573">
        <v>572</v>
      </c>
      <c r="B573">
        <v>23</v>
      </c>
      <c r="C573" t="s">
        <v>21</v>
      </c>
      <c r="D573" t="s">
        <v>22</v>
      </c>
      <c r="E573" t="s">
        <v>73</v>
      </c>
      <c r="F573" t="s">
        <v>94</v>
      </c>
      <c r="G573" t="s">
        <v>25</v>
      </c>
      <c r="H573" t="s">
        <v>26</v>
      </c>
      <c r="I573" t="s">
        <v>70</v>
      </c>
      <c r="J573">
        <v>8</v>
      </c>
      <c r="K573" t="s">
        <v>20</v>
      </c>
      <c r="L573">
        <v>2</v>
      </c>
      <c r="M573">
        <v>4</v>
      </c>
    </row>
    <row r="574" spans="1:13" x14ac:dyDescent="0.3">
      <c r="A574">
        <v>573</v>
      </c>
      <c r="B574">
        <v>19</v>
      </c>
      <c r="C574" t="s">
        <v>13</v>
      </c>
      <c r="D574" t="s">
        <v>14</v>
      </c>
      <c r="E574" t="s">
        <v>91</v>
      </c>
      <c r="F574" t="s">
        <v>59</v>
      </c>
      <c r="G574" t="s">
        <v>31</v>
      </c>
      <c r="H574" t="s">
        <v>18</v>
      </c>
      <c r="I574" t="s">
        <v>65</v>
      </c>
      <c r="J574">
        <v>6</v>
      </c>
      <c r="K574" t="s">
        <v>28</v>
      </c>
      <c r="L574">
        <v>4</v>
      </c>
      <c r="M574">
        <v>8</v>
      </c>
    </row>
    <row r="575" spans="1:13" x14ac:dyDescent="0.3">
      <c r="A575">
        <v>574</v>
      </c>
      <c r="B575">
        <v>22</v>
      </c>
      <c r="C575" t="s">
        <v>21</v>
      </c>
      <c r="D575" t="s">
        <v>22</v>
      </c>
      <c r="E575" t="s">
        <v>23</v>
      </c>
      <c r="F575" t="s">
        <v>43</v>
      </c>
      <c r="G575" t="s">
        <v>41</v>
      </c>
      <c r="H575" t="s">
        <v>18</v>
      </c>
      <c r="I575" t="s">
        <v>78</v>
      </c>
      <c r="J575">
        <v>4</v>
      </c>
      <c r="K575" t="s">
        <v>28</v>
      </c>
      <c r="L575">
        <v>5</v>
      </c>
      <c r="M575">
        <v>9</v>
      </c>
    </row>
    <row r="576" spans="1:13" x14ac:dyDescent="0.3">
      <c r="A576">
        <v>575</v>
      </c>
      <c r="B576">
        <v>21</v>
      </c>
      <c r="C576" t="s">
        <v>13</v>
      </c>
      <c r="D576" t="s">
        <v>14</v>
      </c>
      <c r="E576" t="s">
        <v>81</v>
      </c>
      <c r="F576" t="s">
        <v>67</v>
      </c>
      <c r="G576" t="s">
        <v>17</v>
      </c>
      <c r="H576" t="s">
        <v>26</v>
      </c>
      <c r="I576" t="s">
        <v>27</v>
      </c>
      <c r="J576">
        <v>7</v>
      </c>
      <c r="K576" t="s">
        <v>20</v>
      </c>
      <c r="L576">
        <v>2</v>
      </c>
      <c r="M576">
        <v>5</v>
      </c>
    </row>
    <row r="577" spans="1:13" x14ac:dyDescent="0.3">
      <c r="A577">
        <v>576</v>
      </c>
      <c r="B577">
        <v>24</v>
      </c>
      <c r="C577" t="s">
        <v>21</v>
      </c>
      <c r="D577" t="s">
        <v>22</v>
      </c>
      <c r="E577" t="s">
        <v>109</v>
      </c>
      <c r="F577" t="s">
        <v>65</v>
      </c>
      <c r="G577" t="s">
        <v>31</v>
      </c>
      <c r="H577" t="s">
        <v>18</v>
      </c>
      <c r="I577" t="s">
        <v>57</v>
      </c>
      <c r="J577">
        <v>5</v>
      </c>
      <c r="K577" t="s">
        <v>28</v>
      </c>
      <c r="L577">
        <v>4</v>
      </c>
      <c r="M577">
        <v>8</v>
      </c>
    </row>
    <row r="578" spans="1:13" x14ac:dyDescent="0.3">
      <c r="A578">
        <v>577</v>
      </c>
      <c r="B578">
        <v>20</v>
      </c>
      <c r="C578" t="s">
        <v>13</v>
      </c>
      <c r="D578" t="s">
        <v>14</v>
      </c>
      <c r="E578" t="s">
        <v>29</v>
      </c>
      <c r="F578" t="s">
        <v>78</v>
      </c>
      <c r="G578" t="s">
        <v>17</v>
      </c>
      <c r="H578" t="s">
        <v>18</v>
      </c>
      <c r="I578" t="s">
        <v>75</v>
      </c>
      <c r="J578">
        <v>6</v>
      </c>
      <c r="K578" t="s">
        <v>20</v>
      </c>
      <c r="L578">
        <v>3</v>
      </c>
      <c r="M578">
        <v>7</v>
      </c>
    </row>
    <row r="579" spans="1:13" x14ac:dyDescent="0.3">
      <c r="A579">
        <v>578</v>
      </c>
      <c r="B579">
        <v>22</v>
      </c>
      <c r="C579" t="s">
        <v>21</v>
      </c>
      <c r="D579" t="s">
        <v>22</v>
      </c>
      <c r="E579" t="s">
        <v>62</v>
      </c>
      <c r="F579" t="s">
        <v>19</v>
      </c>
      <c r="G579" t="s">
        <v>41</v>
      </c>
      <c r="H579" t="s">
        <v>18</v>
      </c>
      <c r="I579" t="s">
        <v>92</v>
      </c>
      <c r="J579">
        <v>5</v>
      </c>
      <c r="K579" t="s">
        <v>28</v>
      </c>
      <c r="L579">
        <v>4</v>
      </c>
      <c r="M579">
        <v>8</v>
      </c>
    </row>
    <row r="580" spans="1:13" x14ac:dyDescent="0.3">
      <c r="A580">
        <v>579</v>
      </c>
      <c r="B580">
        <v>19</v>
      </c>
      <c r="C580" t="s">
        <v>13</v>
      </c>
      <c r="D580" t="s">
        <v>14</v>
      </c>
      <c r="E580" t="s">
        <v>55</v>
      </c>
      <c r="F580" t="s">
        <v>77</v>
      </c>
      <c r="G580" t="s">
        <v>25</v>
      </c>
      <c r="H580" t="s">
        <v>26</v>
      </c>
      <c r="I580" t="s">
        <v>100</v>
      </c>
      <c r="J580">
        <v>7</v>
      </c>
      <c r="K580" t="s">
        <v>28</v>
      </c>
      <c r="L580">
        <v>2</v>
      </c>
      <c r="M580">
        <v>5</v>
      </c>
    </row>
    <row r="581" spans="1:13" x14ac:dyDescent="0.3">
      <c r="A581">
        <v>580</v>
      </c>
      <c r="B581">
        <v>23</v>
      </c>
      <c r="C581" t="s">
        <v>21</v>
      </c>
      <c r="D581" t="s">
        <v>22</v>
      </c>
      <c r="E581" t="s">
        <v>39</v>
      </c>
      <c r="F581" t="s">
        <v>16</v>
      </c>
      <c r="G581" t="s">
        <v>17</v>
      </c>
      <c r="H581" t="s">
        <v>18</v>
      </c>
      <c r="I581" t="s">
        <v>38</v>
      </c>
      <c r="J581">
        <v>6</v>
      </c>
      <c r="K581" t="s">
        <v>20</v>
      </c>
      <c r="L581">
        <v>3</v>
      </c>
      <c r="M581">
        <v>6</v>
      </c>
    </row>
    <row r="582" spans="1:13" x14ac:dyDescent="0.3">
      <c r="A582">
        <v>581</v>
      </c>
      <c r="B582">
        <v>21</v>
      </c>
      <c r="C582" t="s">
        <v>13</v>
      </c>
      <c r="D582" t="s">
        <v>14</v>
      </c>
      <c r="E582" t="s">
        <v>35</v>
      </c>
      <c r="F582" t="s">
        <v>132</v>
      </c>
      <c r="G582" t="s">
        <v>31</v>
      </c>
      <c r="H582" t="s">
        <v>18</v>
      </c>
      <c r="I582" t="s">
        <v>134</v>
      </c>
      <c r="J582">
        <v>5</v>
      </c>
      <c r="K582" t="s">
        <v>28</v>
      </c>
      <c r="L582">
        <v>4</v>
      </c>
      <c r="M582">
        <v>8</v>
      </c>
    </row>
    <row r="583" spans="1:13" x14ac:dyDescent="0.3">
      <c r="A583">
        <v>582</v>
      </c>
      <c r="B583">
        <v>24</v>
      </c>
      <c r="C583" t="s">
        <v>21</v>
      </c>
      <c r="D583" t="s">
        <v>22</v>
      </c>
      <c r="E583" t="s">
        <v>60</v>
      </c>
      <c r="F583" t="s">
        <v>85</v>
      </c>
      <c r="G583" t="s">
        <v>41</v>
      </c>
      <c r="H583" t="s">
        <v>26</v>
      </c>
      <c r="I583" t="s">
        <v>83</v>
      </c>
      <c r="J583">
        <v>7</v>
      </c>
      <c r="K583" t="s">
        <v>20</v>
      </c>
      <c r="L583">
        <v>2</v>
      </c>
      <c r="M583">
        <v>5</v>
      </c>
    </row>
    <row r="584" spans="1:13" x14ac:dyDescent="0.3">
      <c r="A584">
        <v>583</v>
      </c>
      <c r="B584">
        <v>20</v>
      </c>
      <c r="C584" t="s">
        <v>13</v>
      </c>
      <c r="D584" t="s">
        <v>14</v>
      </c>
      <c r="E584" t="s">
        <v>63</v>
      </c>
      <c r="F584" t="s">
        <v>75</v>
      </c>
      <c r="G584" t="s">
        <v>17</v>
      </c>
      <c r="H584" t="s">
        <v>18</v>
      </c>
      <c r="I584" t="s">
        <v>30</v>
      </c>
      <c r="J584">
        <v>5</v>
      </c>
      <c r="K584" t="s">
        <v>28</v>
      </c>
      <c r="L584">
        <v>4</v>
      </c>
      <c r="M584">
        <v>8</v>
      </c>
    </row>
    <row r="585" spans="1:13" x14ac:dyDescent="0.3">
      <c r="A585">
        <v>584</v>
      </c>
      <c r="B585">
        <v>22</v>
      </c>
      <c r="C585" t="s">
        <v>21</v>
      </c>
      <c r="D585" t="s">
        <v>22</v>
      </c>
      <c r="E585" t="s">
        <v>66</v>
      </c>
      <c r="F585" t="s">
        <v>49</v>
      </c>
      <c r="G585" t="s">
        <v>222</v>
      </c>
      <c r="H585" t="s">
        <v>18</v>
      </c>
      <c r="I585" t="s">
        <v>19</v>
      </c>
      <c r="J585">
        <v>6</v>
      </c>
      <c r="K585" t="s">
        <v>20</v>
      </c>
      <c r="L585">
        <v>3</v>
      </c>
      <c r="M585">
        <v>7</v>
      </c>
    </row>
    <row r="586" spans="1:13" x14ac:dyDescent="0.3">
      <c r="A586">
        <v>585</v>
      </c>
      <c r="B586">
        <v>19</v>
      </c>
      <c r="C586" t="s">
        <v>13</v>
      </c>
      <c r="D586" t="s">
        <v>14</v>
      </c>
      <c r="E586" t="s">
        <v>51</v>
      </c>
      <c r="F586" t="s">
        <v>40</v>
      </c>
      <c r="G586" t="s">
        <v>25</v>
      </c>
      <c r="H586" t="s">
        <v>26</v>
      </c>
      <c r="I586" t="s">
        <v>196</v>
      </c>
      <c r="J586">
        <v>8</v>
      </c>
      <c r="K586" t="s">
        <v>28</v>
      </c>
      <c r="L586">
        <v>2</v>
      </c>
      <c r="M586">
        <v>4</v>
      </c>
    </row>
    <row r="587" spans="1:13" x14ac:dyDescent="0.3">
      <c r="A587">
        <v>586</v>
      </c>
      <c r="B587">
        <v>23</v>
      </c>
      <c r="C587" t="s">
        <v>21</v>
      </c>
      <c r="D587" t="s">
        <v>22</v>
      </c>
      <c r="E587" t="s">
        <v>145</v>
      </c>
      <c r="F587" t="s">
        <v>134</v>
      </c>
      <c r="G587" t="s">
        <v>41</v>
      </c>
      <c r="H587" t="s">
        <v>18</v>
      </c>
      <c r="I587" t="s">
        <v>132</v>
      </c>
      <c r="J587">
        <v>5</v>
      </c>
      <c r="K587" t="s">
        <v>28</v>
      </c>
      <c r="L587">
        <v>4</v>
      </c>
      <c r="M587">
        <v>8</v>
      </c>
    </row>
    <row r="588" spans="1:13" x14ac:dyDescent="0.3">
      <c r="A588">
        <v>587</v>
      </c>
      <c r="B588">
        <v>21</v>
      </c>
      <c r="C588" t="s">
        <v>13</v>
      </c>
      <c r="D588" t="s">
        <v>14</v>
      </c>
      <c r="E588" t="s">
        <v>144</v>
      </c>
      <c r="F588" t="s">
        <v>199</v>
      </c>
      <c r="G588" t="s">
        <v>17</v>
      </c>
      <c r="H588" t="s">
        <v>26</v>
      </c>
      <c r="I588" t="s">
        <v>198</v>
      </c>
      <c r="J588">
        <v>7</v>
      </c>
      <c r="K588" t="s">
        <v>20</v>
      </c>
      <c r="L588">
        <v>2</v>
      </c>
      <c r="M588">
        <v>5</v>
      </c>
    </row>
    <row r="589" spans="1:13" x14ac:dyDescent="0.3">
      <c r="A589">
        <v>588</v>
      </c>
      <c r="B589">
        <v>24</v>
      </c>
      <c r="C589" t="s">
        <v>21</v>
      </c>
      <c r="D589" t="s">
        <v>22</v>
      </c>
      <c r="E589" t="s">
        <v>58</v>
      </c>
      <c r="F589" t="s">
        <v>95</v>
      </c>
      <c r="G589" t="s">
        <v>31</v>
      </c>
      <c r="H589" t="s">
        <v>18</v>
      </c>
      <c r="I589" t="s">
        <v>57</v>
      </c>
      <c r="J589">
        <v>5</v>
      </c>
      <c r="K589" t="s">
        <v>28</v>
      </c>
      <c r="L589">
        <v>4</v>
      </c>
      <c r="M589">
        <v>8</v>
      </c>
    </row>
    <row r="590" spans="1:13" x14ac:dyDescent="0.3">
      <c r="A590">
        <v>589</v>
      </c>
      <c r="B590">
        <v>20</v>
      </c>
      <c r="C590" t="s">
        <v>13</v>
      </c>
      <c r="D590" t="s">
        <v>14</v>
      </c>
      <c r="E590" t="s">
        <v>73</v>
      </c>
      <c r="F590" t="s">
        <v>97</v>
      </c>
      <c r="G590" t="s">
        <v>17</v>
      </c>
      <c r="H590" t="s">
        <v>26</v>
      </c>
      <c r="I590" t="s">
        <v>100</v>
      </c>
      <c r="J590">
        <v>7</v>
      </c>
      <c r="K590" t="s">
        <v>20</v>
      </c>
      <c r="L590">
        <v>2</v>
      </c>
      <c r="M590">
        <v>5</v>
      </c>
    </row>
    <row r="591" spans="1:13" x14ac:dyDescent="0.3">
      <c r="A591">
        <v>590</v>
      </c>
      <c r="B591">
        <v>22</v>
      </c>
      <c r="C591" t="s">
        <v>21</v>
      </c>
      <c r="D591" t="s">
        <v>22</v>
      </c>
      <c r="E591" t="s">
        <v>91</v>
      </c>
      <c r="F591" t="s">
        <v>72</v>
      </c>
      <c r="G591" t="s">
        <v>25</v>
      </c>
      <c r="H591" t="s">
        <v>18</v>
      </c>
      <c r="I591" t="s">
        <v>65</v>
      </c>
      <c r="J591">
        <v>6</v>
      </c>
      <c r="K591" t="s">
        <v>28</v>
      </c>
      <c r="L591">
        <v>3</v>
      </c>
      <c r="M591">
        <v>7</v>
      </c>
    </row>
    <row r="592" spans="1:13" x14ac:dyDescent="0.3">
      <c r="A592">
        <v>591</v>
      </c>
      <c r="B592">
        <v>19</v>
      </c>
      <c r="C592" t="s">
        <v>13</v>
      </c>
      <c r="D592" t="s">
        <v>14</v>
      </c>
      <c r="E592" t="s">
        <v>23</v>
      </c>
      <c r="F592" t="s">
        <v>38</v>
      </c>
      <c r="G592" t="s">
        <v>17</v>
      </c>
      <c r="H592" t="s">
        <v>18</v>
      </c>
      <c r="I592" t="s">
        <v>49</v>
      </c>
      <c r="J592">
        <v>4</v>
      </c>
      <c r="K592" t="s">
        <v>28</v>
      </c>
      <c r="L592">
        <v>5</v>
      </c>
      <c r="M592">
        <v>9</v>
      </c>
    </row>
    <row r="593" spans="1:13" x14ac:dyDescent="0.3">
      <c r="A593">
        <v>592</v>
      </c>
      <c r="B593">
        <v>23</v>
      </c>
      <c r="C593" t="s">
        <v>21</v>
      </c>
      <c r="D593" t="s">
        <v>22</v>
      </c>
      <c r="E593" t="s">
        <v>81</v>
      </c>
      <c r="F593" t="s">
        <v>197</v>
      </c>
      <c r="G593" t="s">
        <v>41</v>
      </c>
      <c r="H593" t="s">
        <v>26</v>
      </c>
      <c r="I593" t="s">
        <v>27</v>
      </c>
      <c r="J593">
        <v>7</v>
      </c>
      <c r="K593" t="s">
        <v>20</v>
      </c>
      <c r="L593">
        <v>2</v>
      </c>
      <c r="M593">
        <v>5</v>
      </c>
    </row>
    <row r="594" spans="1:13" x14ac:dyDescent="0.3">
      <c r="A594">
        <v>593</v>
      </c>
      <c r="B594">
        <v>21</v>
      </c>
      <c r="C594" t="s">
        <v>13</v>
      </c>
      <c r="D594" t="s">
        <v>14</v>
      </c>
      <c r="E594" t="s">
        <v>109</v>
      </c>
      <c r="F594" t="s">
        <v>90</v>
      </c>
      <c r="G594" t="s">
        <v>31</v>
      </c>
      <c r="H594" t="s">
        <v>18</v>
      </c>
      <c r="I594" t="s">
        <v>92</v>
      </c>
      <c r="J594">
        <v>5</v>
      </c>
      <c r="K594" t="s">
        <v>28</v>
      </c>
      <c r="L594">
        <v>4</v>
      </c>
      <c r="M594">
        <v>8</v>
      </c>
    </row>
    <row r="595" spans="1:13" x14ac:dyDescent="0.3">
      <c r="A595">
        <v>594</v>
      </c>
      <c r="B595">
        <v>24</v>
      </c>
      <c r="C595" t="s">
        <v>21</v>
      </c>
      <c r="D595" t="s">
        <v>22</v>
      </c>
      <c r="E595" t="s">
        <v>29</v>
      </c>
      <c r="F595" t="s">
        <v>110</v>
      </c>
      <c r="G595" t="s">
        <v>17</v>
      </c>
      <c r="H595" t="s">
        <v>18</v>
      </c>
      <c r="I595" t="s">
        <v>90</v>
      </c>
      <c r="J595">
        <v>6</v>
      </c>
      <c r="K595" t="s">
        <v>20</v>
      </c>
      <c r="L595">
        <v>3</v>
      </c>
      <c r="M595">
        <v>7</v>
      </c>
    </row>
    <row r="596" spans="1:13" x14ac:dyDescent="0.3">
      <c r="A596">
        <v>595</v>
      </c>
      <c r="B596">
        <v>20</v>
      </c>
      <c r="C596" t="s">
        <v>13</v>
      </c>
      <c r="D596" t="s">
        <v>14</v>
      </c>
      <c r="E596" t="s">
        <v>62</v>
      </c>
      <c r="F596" t="s">
        <v>57</v>
      </c>
      <c r="G596" t="s">
        <v>41</v>
      </c>
      <c r="H596" t="s">
        <v>18</v>
      </c>
      <c r="I596" t="s">
        <v>132</v>
      </c>
      <c r="J596">
        <v>5</v>
      </c>
      <c r="K596" t="s">
        <v>28</v>
      </c>
      <c r="L596">
        <v>4</v>
      </c>
      <c r="M596">
        <v>8</v>
      </c>
    </row>
    <row r="597" spans="1:13" x14ac:dyDescent="0.3">
      <c r="A597">
        <v>596</v>
      </c>
      <c r="B597">
        <v>21</v>
      </c>
      <c r="C597" t="s">
        <v>21</v>
      </c>
      <c r="D597" t="s">
        <v>14</v>
      </c>
      <c r="E597" t="s">
        <v>55</v>
      </c>
      <c r="F597" t="s">
        <v>49</v>
      </c>
      <c r="G597" t="s">
        <v>17</v>
      </c>
      <c r="H597" t="s">
        <v>18</v>
      </c>
      <c r="I597" t="s">
        <v>75</v>
      </c>
      <c r="J597">
        <v>6</v>
      </c>
      <c r="K597" t="s">
        <v>28</v>
      </c>
      <c r="L597">
        <v>3</v>
      </c>
      <c r="M597">
        <v>7</v>
      </c>
    </row>
    <row r="598" spans="1:13" x14ac:dyDescent="0.3">
      <c r="A598">
        <v>597</v>
      </c>
      <c r="B598">
        <v>23</v>
      </c>
      <c r="C598" t="s">
        <v>13</v>
      </c>
      <c r="D598" t="s">
        <v>22</v>
      </c>
      <c r="E598" t="s">
        <v>39</v>
      </c>
      <c r="F598" t="s">
        <v>85</v>
      </c>
      <c r="G598" t="s">
        <v>31</v>
      </c>
      <c r="H598" t="s">
        <v>26</v>
      </c>
      <c r="I598" t="s">
        <v>83</v>
      </c>
      <c r="J598">
        <v>7</v>
      </c>
      <c r="K598" t="s">
        <v>20</v>
      </c>
      <c r="L598">
        <v>2</v>
      </c>
      <c r="M598">
        <v>5</v>
      </c>
    </row>
    <row r="599" spans="1:13" x14ac:dyDescent="0.3">
      <c r="A599">
        <v>598</v>
      </c>
      <c r="B599">
        <v>20</v>
      </c>
      <c r="C599" t="s">
        <v>21</v>
      </c>
      <c r="D599" t="s">
        <v>14</v>
      </c>
      <c r="E599" t="s">
        <v>35</v>
      </c>
      <c r="F599" t="s">
        <v>134</v>
      </c>
      <c r="G599" t="s">
        <v>41</v>
      </c>
      <c r="H599" t="s">
        <v>18</v>
      </c>
      <c r="I599" t="s">
        <v>57</v>
      </c>
      <c r="J599">
        <v>5</v>
      </c>
      <c r="K599" t="s">
        <v>28</v>
      </c>
      <c r="L599">
        <v>4</v>
      </c>
      <c r="M599">
        <v>8</v>
      </c>
    </row>
    <row r="600" spans="1:13" x14ac:dyDescent="0.3">
      <c r="A600">
        <v>599</v>
      </c>
      <c r="B600">
        <v>22</v>
      </c>
      <c r="C600" t="s">
        <v>13</v>
      </c>
      <c r="D600" t="s">
        <v>22</v>
      </c>
      <c r="E600" t="s">
        <v>60</v>
      </c>
      <c r="F600" t="s">
        <v>114</v>
      </c>
      <c r="G600" t="s">
        <v>25</v>
      </c>
      <c r="H600" t="s">
        <v>26</v>
      </c>
      <c r="I600" t="s">
        <v>127</v>
      </c>
      <c r="J600">
        <v>7</v>
      </c>
      <c r="K600" t="s">
        <v>20</v>
      </c>
      <c r="L600">
        <v>2</v>
      </c>
      <c r="M600">
        <v>5</v>
      </c>
    </row>
    <row r="601" spans="1:13" x14ac:dyDescent="0.3">
      <c r="A601">
        <v>600</v>
      </c>
      <c r="B601">
        <v>19</v>
      </c>
      <c r="C601" t="s">
        <v>21</v>
      </c>
      <c r="D601" t="s">
        <v>14</v>
      </c>
      <c r="E601" t="s">
        <v>63</v>
      </c>
      <c r="F601" t="s">
        <v>75</v>
      </c>
      <c r="G601" t="s">
        <v>17</v>
      </c>
      <c r="H601" t="s">
        <v>18</v>
      </c>
      <c r="I601" t="s">
        <v>30</v>
      </c>
      <c r="J601">
        <v>4</v>
      </c>
      <c r="K601" t="s">
        <v>28</v>
      </c>
      <c r="L601">
        <v>4</v>
      </c>
      <c r="M601">
        <v>8</v>
      </c>
    </row>
    <row r="602" spans="1:13" x14ac:dyDescent="0.3">
      <c r="A602">
        <v>601</v>
      </c>
      <c r="B602">
        <v>24</v>
      </c>
      <c r="C602" t="s">
        <v>13</v>
      </c>
      <c r="D602" t="s">
        <v>22</v>
      </c>
      <c r="E602" t="s">
        <v>66</v>
      </c>
      <c r="F602" t="s">
        <v>59</v>
      </c>
      <c r="G602" t="s">
        <v>222</v>
      </c>
      <c r="H602" t="s">
        <v>18</v>
      </c>
      <c r="I602" t="s">
        <v>65</v>
      </c>
      <c r="J602">
        <v>6</v>
      </c>
      <c r="K602" t="s">
        <v>20</v>
      </c>
      <c r="L602">
        <v>3</v>
      </c>
      <c r="M602">
        <v>7</v>
      </c>
    </row>
    <row r="603" spans="1:13" x14ac:dyDescent="0.3">
      <c r="A603">
        <v>602</v>
      </c>
      <c r="B603">
        <v>21</v>
      </c>
      <c r="C603" t="s">
        <v>21</v>
      </c>
      <c r="D603" t="s">
        <v>14</v>
      </c>
      <c r="E603" t="s">
        <v>51</v>
      </c>
      <c r="F603" t="s">
        <v>197</v>
      </c>
      <c r="G603" t="s">
        <v>25</v>
      </c>
      <c r="H603" t="s">
        <v>26</v>
      </c>
      <c r="I603" t="s">
        <v>196</v>
      </c>
      <c r="J603">
        <v>8</v>
      </c>
      <c r="K603" t="s">
        <v>28</v>
      </c>
      <c r="L603">
        <v>2</v>
      </c>
      <c r="M603">
        <v>4</v>
      </c>
    </row>
    <row r="604" spans="1:13" x14ac:dyDescent="0.3">
      <c r="A604">
        <v>603</v>
      </c>
      <c r="B604">
        <v>23</v>
      </c>
      <c r="C604" t="s">
        <v>13</v>
      </c>
      <c r="D604" t="s">
        <v>22</v>
      </c>
      <c r="E604" t="s">
        <v>145</v>
      </c>
      <c r="F604" t="s">
        <v>57</v>
      </c>
      <c r="G604" t="s">
        <v>17</v>
      </c>
      <c r="H604" t="s">
        <v>18</v>
      </c>
      <c r="I604" t="s">
        <v>134</v>
      </c>
      <c r="J604">
        <v>5</v>
      </c>
      <c r="K604" t="s">
        <v>28</v>
      </c>
      <c r="L604">
        <v>4</v>
      </c>
      <c r="M604">
        <v>8</v>
      </c>
    </row>
    <row r="605" spans="1:13" x14ac:dyDescent="0.3">
      <c r="A605">
        <v>604</v>
      </c>
      <c r="B605">
        <v>20</v>
      </c>
      <c r="C605" t="s">
        <v>21</v>
      </c>
      <c r="D605" t="s">
        <v>14</v>
      </c>
      <c r="E605" t="s">
        <v>144</v>
      </c>
      <c r="F605" t="s">
        <v>40</v>
      </c>
      <c r="G605" t="s">
        <v>41</v>
      </c>
      <c r="H605" t="s">
        <v>26</v>
      </c>
      <c r="I605" t="s">
        <v>100</v>
      </c>
      <c r="J605">
        <v>7</v>
      </c>
      <c r="K605" t="s">
        <v>20</v>
      </c>
      <c r="L605">
        <v>2</v>
      </c>
      <c r="M605">
        <v>5</v>
      </c>
    </row>
    <row r="606" spans="1:13" x14ac:dyDescent="0.3">
      <c r="A606">
        <v>605</v>
      </c>
      <c r="B606">
        <v>22</v>
      </c>
      <c r="C606" t="s">
        <v>13</v>
      </c>
      <c r="D606" t="s">
        <v>22</v>
      </c>
      <c r="E606" t="s">
        <v>58</v>
      </c>
      <c r="F606" t="s">
        <v>132</v>
      </c>
      <c r="G606" t="s">
        <v>31</v>
      </c>
      <c r="H606" t="s">
        <v>18</v>
      </c>
      <c r="I606" t="s">
        <v>132</v>
      </c>
      <c r="J606">
        <v>5</v>
      </c>
      <c r="K606" t="s">
        <v>28</v>
      </c>
      <c r="L606">
        <v>4</v>
      </c>
      <c r="M606">
        <v>8</v>
      </c>
    </row>
    <row r="607" spans="1:13" x14ac:dyDescent="0.3">
      <c r="A607">
        <v>606</v>
      </c>
      <c r="B607">
        <v>19</v>
      </c>
      <c r="C607" t="s">
        <v>21</v>
      </c>
      <c r="D607" t="s">
        <v>14</v>
      </c>
      <c r="E607" t="s">
        <v>73</v>
      </c>
      <c r="F607" t="s">
        <v>77</v>
      </c>
      <c r="G607" t="s">
        <v>17</v>
      </c>
      <c r="H607" t="s">
        <v>26</v>
      </c>
      <c r="I607" t="s">
        <v>43</v>
      </c>
      <c r="J607">
        <v>7</v>
      </c>
      <c r="K607" t="s">
        <v>20</v>
      </c>
      <c r="L607">
        <v>2</v>
      </c>
      <c r="M607">
        <v>5</v>
      </c>
    </row>
    <row r="608" spans="1:13" x14ac:dyDescent="0.3">
      <c r="A608">
        <v>607</v>
      </c>
      <c r="B608">
        <v>24</v>
      </c>
      <c r="C608" t="s">
        <v>13</v>
      </c>
      <c r="D608" t="s">
        <v>22</v>
      </c>
      <c r="E608" t="s">
        <v>91</v>
      </c>
      <c r="F608" t="s">
        <v>78</v>
      </c>
      <c r="G608" t="s">
        <v>25</v>
      </c>
      <c r="H608" t="s">
        <v>18</v>
      </c>
      <c r="I608" t="s">
        <v>95</v>
      </c>
      <c r="J608">
        <v>6</v>
      </c>
      <c r="K608" t="s">
        <v>28</v>
      </c>
      <c r="L608">
        <v>3</v>
      </c>
      <c r="M608">
        <v>7</v>
      </c>
    </row>
    <row r="609" spans="1:13" x14ac:dyDescent="0.3">
      <c r="A609">
        <v>608</v>
      </c>
      <c r="B609">
        <v>21</v>
      </c>
      <c r="C609" t="s">
        <v>21</v>
      </c>
      <c r="D609" t="s">
        <v>14</v>
      </c>
      <c r="E609" t="s">
        <v>23</v>
      </c>
      <c r="F609" t="s">
        <v>127</v>
      </c>
      <c r="G609" t="s">
        <v>41</v>
      </c>
      <c r="H609" t="s">
        <v>18</v>
      </c>
      <c r="I609" t="s">
        <v>72</v>
      </c>
      <c r="J609">
        <v>4</v>
      </c>
      <c r="K609" t="s">
        <v>28</v>
      </c>
      <c r="L609">
        <v>5</v>
      </c>
      <c r="M609">
        <v>9</v>
      </c>
    </row>
    <row r="610" spans="1:13" x14ac:dyDescent="0.3">
      <c r="A610">
        <v>609</v>
      </c>
      <c r="B610">
        <v>23</v>
      </c>
      <c r="C610" t="s">
        <v>13</v>
      </c>
      <c r="D610" t="s">
        <v>22</v>
      </c>
      <c r="E610" t="s">
        <v>81</v>
      </c>
      <c r="F610" t="s">
        <v>97</v>
      </c>
      <c r="G610" t="s">
        <v>17</v>
      </c>
      <c r="H610" t="s">
        <v>26</v>
      </c>
      <c r="I610" t="s">
        <v>100</v>
      </c>
      <c r="J610">
        <v>7</v>
      </c>
      <c r="K610" t="s">
        <v>20</v>
      </c>
      <c r="L610">
        <v>2</v>
      </c>
      <c r="M610">
        <v>5</v>
      </c>
    </row>
    <row r="611" spans="1:13" x14ac:dyDescent="0.3">
      <c r="A611">
        <v>610</v>
      </c>
      <c r="B611">
        <v>20</v>
      </c>
      <c r="C611" t="s">
        <v>21</v>
      </c>
      <c r="D611" t="s">
        <v>14</v>
      </c>
      <c r="E611" t="s">
        <v>109</v>
      </c>
      <c r="F611" t="s">
        <v>95</v>
      </c>
      <c r="G611" t="s">
        <v>31</v>
      </c>
      <c r="H611" t="s">
        <v>18</v>
      </c>
      <c r="I611" t="s">
        <v>57</v>
      </c>
      <c r="J611">
        <v>5</v>
      </c>
      <c r="K611" t="s">
        <v>28</v>
      </c>
      <c r="L611">
        <v>4</v>
      </c>
      <c r="M611">
        <v>8</v>
      </c>
    </row>
    <row r="612" spans="1:13" x14ac:dyDescent="0.3">
      <c r="A612">
        <v>611</v>
      </c>
      <c r="B612">
        <v>22</v>
      </c>
      <c r="C612" t="s">
        <v>13</v>
      </c>
      <c r="D612" t="s">
        <v>22</v>
      </c>
      <c r="E612" t="s">
        <v>29</v>
      </c>
      <c r="F612" t="s">
        <v>87</v>
      </c>
      <c r="G612" t="s">
        <v>17</v>
      </c>
      <c r="H612" t="s">
        <v>18</v>
      </c>
      <c r="I612" t="s">
        <v>90</v>
      </c>
      <c r="J612">
        <v>6</v>
      </c>
      <c r="K612" t="s">
        <v>20</v>
      </c>
      <c r="L612">
        <v>3</v>
      </c>
      <c r="M612">
        <v>7</v>
      </c>
    </row>
    <row r="613" spans="1:13" x14ac:dyDescent="0.3">
      <c r="A613">
        <v>612</v>
      </c>
      <c r="B613">
        <v>19</v>
      </c>
      <c r="C613" t="s">
        <v>21</v>
      </c>
      <c r="D613" t="s">
        <v>14</v>
      </c>
      <c r="E613" t="s">
        <v>62</v>
      </c>
      <c r="F613" t="s">
        <v>19</v>
      </c>
      <c r="G613" t="s">
        <v>41</v>
      </c>
      <c r="H613" t="s">
        <v>18</v>
      </c>
      <c r="I613" t="s">
        <v>92</v>
      </c>
      <c r="J613">
        <v>5</v>
      </c>
      <c r="K613" t="s">
        <v>28</v>
      </c>
      <c r="L613">
        <v>4</v>
      </c>
      <c r="M613">
        <v>8</v>
      </c>
    </row>
    <row r="614" spans="1:13" x14ac:dyDescent="0.3">
      <c r="A614">
        <v>613</v>
      </c>
      <c r="B614">
        <v>24</v>
      </c>
      <c r="C614" t="s">
        <v>13</v>
      </c>
      <c r="D614" t="s">
        <v>22</v>
      </c>
      <c r="E614" t="s">
        <v>55</v>
      </c>
      <c r="F614" t="s">
        <v>56</v>
      </c>
      <c r="G614" t="s">
        <v>25</v>
      </c>
      <c r="H614" t="s">
        <v>26</v>
      </c>
      <c r="I614" t="s">
        <v>83</v>
      </c>
      <c r="J614">
        <v>7</v>
      </c>
      <c r="K614" t="s">
        <v>20</v>
      </c>
      <c r="L614">
        <v>2</v>
      </c>
      <c r="M614">
        <v>5</v>
      </c>
    </row>
    <row r="615" spans="1:13" x14ac:dyDescent="0.3">
      <c r="A615">
        <v>614</v>
      </c>
      <c r="B615">
        <v>21</v>
      </c>
      <c r="C615" t="s">
        <v>21</v>
      </c>
      <c r="D615" t="s">
        <v>14</v>
      </c>
      <c r="E615" t="s">
        <v>39</v>
      </c>
      <c r="F615" t="s">
        <v>72</v>
      </c>
      <c r="G615" t="s">
        <v>17</v>
      </c>
      <c r="H615" t="s">
        <v>18</v>
      </c>
      <c r="I615" t="s">
        <v>75</v>
      </c>
      <c r="J615">
        <v>6</v>
      </c>
      <c r="K615" t="s">
        <v>28</v>
      </c>
      <c r="L615">
        <v>3</v>
      </c>
      <c r="M615">
        <v>7</v>
      </c>
    </row>
    <row r="616" spans="1:13" x14ac:dyDescent="0.3">
      <c r="A616">
        <v>615</v>
      </c>
      <c r="B616">
        <v>23</v>
      </c>
      <c r="C616" t="s">
        <v>13</v>
      </c>
      <c r="D616" t="s">
        <v>22</v>
      </c>
      <c r="E616" t="s">
        <v>35</v>
      </c>
      <c r="F616" t="s">
        <v>92</v>
      </c>
      <c r="G616" t="s">
        <v>31</v>
      </c>
      <c r="H616" t="s">
        <v>18</v>
      </c>
      <c r="I616" t="s">
        <v>134</v>
      </c>
      <c r="J616">
        <v>5</v>
      </c>
      <c r="K616" t="s">
        <v>28</v>
      </c>
      <c r="L616">
        <v>4</v>
      </c>
      <c r="M616">
        <v>8</v>
      </c>
    </row>
    <row r="617" spans="1:13" x14ac:dyDescent="0.3">
      <c r="A617">
        <v>616</v>
      </c>
      <c r="B617">
        <v>20</v>
      </c>
      <c r="C617" t="s">
        <v>21</v>
      </c>
      <c r="D617" t="s">
        <v>14</v>
      </c>
      <c r="E617" t="s">
        <v>60</v>
      </c>
      <c r="F617" t="s">
        <v>123</v>
      </c>
      <c r="G617" t="s">
        <v>41</v>
      </c>
      <c r="H617" t="s">
        <v>26</v>
      </c>
      <c r="I617" t="s">
        <v>43</v>
      </c>
      <c r="J617">
        <v>7</v>
      </c>
      <c r="K617" t="s">
        <v>20</v>
      </c>
      <c r="L617">
        <v>2</v>
      </c>
      <c r="M617">
        <v>5</v>
      </c>
    </row>
    <row r="618" spans="1:13" x14ac:dyDescent="0.3">
      <c r="A618">
        <v>617</v>
      </c>
      <c r="B618">
        <v>22</v>
      </c>
      <c r="C618" t="s">
        <v>13</v>
      </c>
      <c r="D618" t="s">
        <v>22</v>
      </c>
      <c r="E618" t="s">
        <v>63</v>
      </c>
      <c r="F618" t="s">
        <v>65</v>
      </c>
      <c r="G618" t="s">
        <v>17</v>
      </c>
      <c r="H618" t="s">
        <v>18</v>
      </c>
      <c r="I618" t="s">
        <v>78</v>
      </c>
      <c r="J618">
        <v>4</v>
      </c>
      <c r="K618" t="s">
        <v>28</v>
      </c>
      <c r="L618">
        <v>5</v>
      </c>
      <c r="M618">
        <v>9</v>
      </c>
    </row>
    <row r="619" spans="1:13" x14ac:dyDescent="0.3">
      <c r="A619">
        <v>618</v>
      </c>
      <c r="B619">
        <v>19</v>
      </c>
      <c r="C619" t="s">
        <v>21</v>
      </c>
      <c r="D619" t="s">
        <v>14</v>
      </c>
      <c r="E619" t="s">
        <v>66</v>
      </c>
      <c r="F619" t="s">
        <v>110</v>
      </c>
      <c r="G619" t="s">
        <v>222</v>
      </c>
      <c r="H619" t="s">
        <v>18</v>
      </c>
      <c r="I619" t="s">
        <v>65</v>
      </c>
      <c r="J619">
        <v>6</v>
      </c>
      <c r="K619" t="s">
        <v>20</v>
      </c>
      <c r="L619">
        <v>3</v>
      </c>
      <c r="M619">
        <v>7</v>
      </c>
    </row>
    <row r="620" spans="1:13" x14ac:dyDescent="0.3">
      <c r="A620">
        <v>619</v>
      </c>
      <c r="B620">
        <v>24</v>
      </c>
      <c r="C620" t="s">
        <v>13</v>
      </c>
      <c r="D620" t="s">
        <v>22</v>
      </c>
      <c r="E620" t="s">
        <v>51</v>
      </c>
      <c r="F620" t="s">
        <v>67</v>
      </c>
      <c r="G620" t="s">
        <v>25</v>
      </c>
      <c r="H620" t="s">
        <v>26</v>
      </c>
      <c r="I620" t="s">
        <v>27</v>
      </c>
      <c r="J620">
        <v>8</v>
      </c>
      <c r="K620" t="s">
        <v>28</v>
      </c>
      <c r="L620">
        <v>2</v>
      </c>
      <c r="M620">
        <v>4</v>
      </c>
    </row>
    <row r="621" spans="1:13" x14ac:dyDescent="0.3">
      <c r="A621">
        <v>620</v>
      </c>
      <c r="B621">
        <v>21</v>
      </c>
      <c r="C621" t="s">
        <v>21</v>
      </c>
      <c r="D621" t="s">
        <v>14</v>
      </c>
      <c r="E621" t="s">
        <v>145</v>
      </c>
      <c r="F621" t="s">
        <v>132</v>
      </c>
      <c r="G621" t="s">
        <v>31</v>
      </c>
      <c r="H621" t="s">
        <v>18</v>
      </c>
      <c r="I621" t="s">
        <v>132</v>
      </c>
      <c r="J621">
        <v>5</v>
      </c>
      <c r="K621" t="s">
        <v>28</v>
      </c>
      <c r="L621">
        <v>4</v>
      </c>
      <c r="M621">
        <v>8</v>
      </c>
    </row>
    <row r="622" spans="1:13" x14ac:dyDescent="0.3">
      <c r="A622">
        <v>621</v>
      </c>
      <c r="B622">
        <v>23</v>
      </c>
      <c r="C622" t="s">
        <v>13</v>
      </c>
      <c r="D622" t="s">
        <v>22</v>
      </c>
      <c r="E622" t="s">
        <v>144</v>
      </c>
      <c r="F622" t="s">
        <v>97</v>
      </c>
      <c r="G622" t="s">
        <v>17</v>
      </c>
      <c r="H622" t="s">
        <v>26</v>
      </c>
      <c r="I622" t="s">
        <v>100</v>
      </c>
      <c r="J622">
        <v>7</v>
      </c>
      <c r="K622" t="s">
        <v>20</v>
      </c>
      <c r="L622">
        <v>2</v>
      </c>
      <c r="M622">
        <v>5</v>
      </c>
    </row>
    <row r="623" spans="1:13" x14ac:dyDescent="0.3">
      <c r="A623">
        <v>622</v>
      </c>
      <c r="B623">
        <v>20</v>
      </c>
      <c r="C623" t="s">
        <v>21</v>
      </c>
      <c r="D623" t="s">
        <v>14</v>
      </c>
      <c r="E623" t="s">
        <v>58</v>
      </c>
      <c r="F623" t="s">
        <v>19</v>
      </c>
      <c r="G623" t="s">
        <v>41</v>
      </c>
      <c r="H623" t="s">
        <v>18</v>
      </c>
      <c r="I623" t="s">
        <v>57</v>
      </c>
      <c r="J623">
        <v>5</v>
      </c>
      <c r="K623" t="s">
        <v>28</v>
      </c>
      <c r="L623">
        <v>4</v>
      </c>
      <c r="M623">
        <v>8</v>
      </c>
    </row>
    <row r="624" spans="1:13" x14ac:dyDescent="0.3">
      <c r="A624">
        <v>623</v>
      </c>
      <c r="B624">
        <v>22</v>
      </c>
      <c r="C624" t="s">
        <v>13</v>
      </c>
      <c r="D624" t="s">
        <v>22</v>
      </c>
      <c r="E624" t="s">
        <v>73</v>
      </c>
      <c r="F624" t="s">
        <v>123</v>
      </c>
      <c r="G624" t="s">
        <v>25</v>
      </c>
      <c r="H624" t="s">
        <v>26</v>
      </c>
      <c r="I624" t="s">
        <v>83</v>
      </c>
      <c r="J624">
        <v>7</v>
      </c>
      <c r="K624" t="s">
        <v>20</v>
      </c>
      <c r="L624">
        <v>2</v>
      </c>
      <c r="M624">
        <v>5</v>
      </c>
    </row>
    <row r="625" spans="1:13" x14ac:dyDescent="0.3">
      <c r="A625">
        <v>624</v>
      </c>
      <c r="B625">
        <v>19</v>
      </c>
      <c r="C625" t="s">
        <v>21</v>
      </c>
      <c r="D625" t="s">
        <v>14</v>
      </c>
      <c r="E625" t="s">
        <v>91</v>
      </c>
      <c r="F625" t="s">
        <v>49</v>
      </c>
      <c r="G625" t="s">
        <v>17</v>
      </c>
      <c r="H625" t="s">
        <v>18</v>
      </c>
      <c r="I625" t="s">
        <v>95</v>
      </c>
      <c r="J625">
        <v>6</v>
      </c>
      <c r="K625" t="s">
        <v>28</v>
      </c>
      <c r="L625">
        <v>3</v>
      </c>
      <c r="M625">
        <v>7</v>
      </c>
    </row>
    <row r="626" spans="1:13" x14ac:dyDescent="0.3">
      <c r="A626">
        <v>625</v>
      </c>
      <c r="B626">
        <v>24</v>
      </c>
      <c r="C626" t="s">
        <v>13</v>
      </c>
      <c r="D626" t="s">
        <v>22</v>
      </c>
      <c r="E626" t="s">
        <v>23</v>
      </c>
      <c r="F626" t="s">
        <v>38</v>
      </c>
      <c r="G626" t="s">
        <v>31</v>
      </c>
      <c r="H626" t="s">
        <v>18</v>
      </c>
      <c r="I626" t="s">
        <v>49</v>
      </c>
      <c r="J626">
        <v>4</v>
      </c>
      <c r="K626" t="s">
        <v>28</v>
      </c>
      <c r="L626">
        <v>5</v>
      </c>
      <c r="M626">
        <v>9</v>
      </c>
    </row>
    <row r="627" spans="1:13" x14ac:dyDescent="0.3">
      <c r="A627">
        <v>626</v>
      </c>
      <c r="B627">
        <v>21</v>
      </c>
      <c r="C627" t="s">
        <v>21</v>
      </c>
      <c r="D627" t="s">
        <v>14</v>
      </c>
      <c r="E627" t="s">
        <v>81</v>
      </c>
      <c r="F627" t="s">
        <v>40</v>
      </c>
      <c r="G627" t="s">
        <v>41</v>
      </c>
      <c r="H627" t="s">
        <v>26</v>
      </c>
      <c r="I627" t="s">
        <v>83</v>
      </c>
      <c r="J627">
        <v>7</v>
      </c>
      <c r="K627" t="s">
        <v>20</v>
      </c>
      <c r="L627">
        <v>2</v>
      </c>
      <c r="M627">
        <v>5</v>
      </c>
    </row>
    <row r="628" spans="1:13" x14ac:dyDescent="0.3">
      <c r="A628">
        <v>627</v>
      </c>
      <c r="B628">
        <v>23</v>
      </c>
      <c r="C628" t="s">
        <v>13</v>
      </c>
      <c r="D628" t="s">
        <v>22</v>
      </c>
      <c r="E628" t="s">
        <v>109</v>
      </c>
      <c r="F628" t="s">
        <v>75</v>
      </c>
      <c r="G628" t="s">
        <v>17</v>
      </c>
      <c r="H628" t="s">
        <v>18</v>
      </c>
      <c r="I628" t="s">
        <v>92</v>
      </c>
      <c r="J628">
        <v>5</v>
      </c>
      <c r="K628" t="s">
        <v>28</v>
      </c>
      <c r="L628">
        <v>4</v>
      </c>
      <c r="M628">
        <v>8</v>
      </c>
    </row>
    <row r="629" spans="1:13" x14ac:dyDescent="0.3">
      <c r="A629">
        <v>628</v>
      </c>
      <c r="B629">
        <v>20</v>
      </c>
      <c r="C629" t="s">
        <v>21</v>
      </c>
      <c r="D629" t="s">
        <v>14</v>
      </c>
      <c r="E629" t="s">
        <v>29</v>
      </c>
      <c r="F629" t="s">
        <v>59</v>
      </c>
      <c r="G629" t="s">
        <v>25</v>
      </c>
      <c r="H629" t="s">
        <v>18</v>
      </c>
      <c r="I629" t="s">
        <v>65</v>
      </c>
      <c r="J629">
        <v>6</v>
      </c>
      <c r="K629" t="s">
        <v>20</v>
      </c>
      <c r="L629">
        <v>3</v>
      </c>
      <c r="M629">
        <v>7</v>
      </c>
    </row>
    <row r="630" spans="1:13" x14ac:dyDescent="0.3">
      <c r="A630">
        <v>629</v>
      </c>
      <c r="B630">
        <v>22</v>
      </c>
      <c r="C630" t="s">
        <v>13</v>
      </c>
      <c r="D630" t="s">
        <v>22</v>
      </c>
      <c r="E630" t="s">
        <v>62</v>
      </c>
      <c r="F630" t="s">
        <v>134</v>
      </c>
      <c r="G630" t="s">
        <v>41</v>
      </c>
      <c r="H630" t="s">
        <v>18</v>
      </c>
      <c r="I630" t="s">
        <v>57</v>
      </c>
      <c r="J630">
        <v>5</v>
      </c>
      <c r="K630" t="s">
        <v>28</v>
      </c>
      <c r="L630">
        <v>4</v>
      </c>
      <c r="M630">
        <v>8</v>
      </c>
    </row>
    <row r="631" spans="1:13" x14ac:dyDescent="0.3">
      <c r="A631">
        <v>630</v>
      </c>
      <c r="B631">
        <v>19</v>
      </c>
      <c r="C631" t="s">
        <v>21</v>
      </c>
      <c r="D631" t="s">
        <v>14</v>
      </c>
      <c r="E631" t="s">
        <v>55</v>
      </c>
      <c r="F631" t="s">
        <v>77</v>
      </c>
      <c r="G631" t="s">
        <v>17</v>
      </c>
      <c r="H631" t="s">
        <v>26</v>
      </c>
      <c r="I631" t="s">
        <v>43</v>
      </c>
      <c r="J631">
        <v>7</v>
      </c>
      <c r="K631" t="s">
        <v>20</v>
      </c>
      <c r="L631">
        <v>2</v>
      </c>
      <c r="M631">
        <v>5</v>
      </c>
    </row>
    <row r="632" spans="1:13" x14ac:dyDescent="0.3">
      <c r="A632">
        <v>631</v>
      </c>
      <c r="B632">
        <v>24</v>
      </c>
      <c r="C632" t="s">
        <v>13</v>
      </c>
      <c r="D632" t="s">
        <v>22</v>
      </c>
      <c r="E632" t="s">
        <v>39</v>
      </c>
      <c r="F632" t="s">
        <v>110</v>
      </c>
      <c r="G632" t="s">
        <v>31</v>
      </c>
      <c r="H632" t="s">
        <v>18</v>
      </c>
      <c r="I632" t="s">
        <v>75</v>
      </c>
      <c r="J632">
        <v>6</v>
      </c>
      <c r="K632" t="s">
        <v>28</v>
      </c>
      <c r="L632">
        <v>3</v>
      </c>
      <c r="M632">
        <v>7</v>
      </c>
    </row>
    <row r="633" spans="1:13" x14ac:dyDescent="0.3">
      <c r="A633">
        <v>632</v>
      </c>
      <c r="B633">
        <v>21</v>
      </c>
      <c r="C633" t="s">
        <v>21</v>
      </c>
      <c r="D633" t="s">
        <v>14</v>
      </c>
      <c r="E633" t="s">
        <v>35</v>
      </c>
      <c r="F633" t="s">
        <v>57</v>
      </c>
      <c r="G633" t="s">
        <v>41</v>
      </c>
      <c r="H633" t="s">
        <v>18</v>
      </c>
      <c r="I633" t="s">
        <v>132</v>
      </c>
      <c r="J633">
        <v>5</v>
      </c>
      <c r="K633" t="s">
        <v>28</v>
      </c>
      <c r="L633">
        <v>4</v>
      </c>
      <c r="M633">
        <v>8</v>
      </c>
    </row>
    <row r="634" spans="1:13" x14ac:dyDescent="0.3">
      <c r="A634">
        <v>633</v>
      </c>
      <c r="B634">
        <v>23</v>
      </c>
      <c r="C634" t="s">
        <v>13</v>
      </c>
      <c r="D634" t="s">
        <v>22</v>
      </c>
      <c r="E634" t="s">
        <v>60</v>
      </c>
      <c r="F634" t="s">
        <v>56</v>
      </c>
      <c r="G634" t="s">
        <v>25</v>
      </c>
      <c r="H634" t="s">
        <v>26</v>
      </c>
      <c r="I634" t="s">
        <v>127</v>
      </c>
      <c r="J634">
        <v>7</v>
      </c>
      <c r="K634" t="s">
        <v>20</v>
      </c>
      <c r="L634">
        <v>2</v>
      </c>
      <c r="M634">
        <v>5</v>
      </c>
    </row>
    <row r="635" spans="1:13" x14ac:dyDescent="0.3">
      <c r="A635">
        <v>634</v>
      </c>
      <c r="B635">
        <v>20</v>
      </c>
      <c r="C635" t="s">
        <v>21</v>
      </c>
      <c r="D635" t="s">
        <v>14</v>
      </c>
      <c r="E635" t="s">
        <v>63</v>
      </c>
      <c r="F635" t="s">
        <v>90</v>
      </c>
      <c r="G635" t="s">
        <v>17</v>
      </c>
      <c r="H635" t="s">
        <v>18</v>
      </c>
      <c r="I635" t="s">
        <v>78</v>
      </c>
      <c r="J635">
        <v>4</v>
      </c>
      <c r="K635" t="s">
        <v>28</v>
      </c>
      <c r="L635">
        <v>5</v>
      </c>
      <c r="M635">
        <v>9</v>
      </c>
    </row>
    <row r="636" spans="1:13" x14ac:dyDescent="0.3">
      <c r="A636">
        <v>635</v>
      </c>
      <c r="B636">
        <v>22</v>
      </c>
      <c r="C636" t="s">
        <v>13</v>
      </c>
      <c r="D636" t="s">
        <v>22</v>
      </c>
      <c r="E636" t="s">
        <v>66</v>
      </c>
      <c r="F636" t="s">
        <v>72</v>
      </c>
      <c r="G636" t="s">
        <v>222</v>
      </c>
      <c r="H636" t="s">
        <v>18</v>
      </c>
      <c r="I636" t="s">
        <v>75</v>
      </c>
      <c r="J636">
        <v>6</v>
      </c>
      <c r="K636" t="s">
        <v>20</v>
      </c>
      <c r="L636">
        <v>3</v>
      </c>
      <c r="M636">
        <v>7</v>
      </c>
    </row>
    <row r="637" spans="1:13" x14ac:dyDescent="0.3">
      <c r="A637">
        <v>636</v>
      </c>
      <c r="B637">
        <v>19</v>
      </c>
      <c r="C637" t="s">
        <v>21</v>
      </c>
      <c r="D637" t="s">
        <v>14</v>
      </c>
      <c r="E637" t="s">
        <v>51</v>
      </c>
      <c r="F637" t="s">
        <v>97</v>
      </c>
      <c r="G637" t="s">
        <v>25</v>
      </c>
      <c r="H637" t="s">
        <v>26</v>
      </c>
      <c r="I637" t="s">
        <v>100</v>
      </c>
      <c r="J637">
        <v>8</v>
      </c>
      <c r="K637" t="s">
        <v>28</v>
      </c>
      <c r="L637">
        <v>2</v>
      </c>
      <c r="M637">
        <v>4</v>
      </c>
    </row>
    <row r="638" spans="1:13" x14ac:dyDescent="0.3">
      <c r="A638">
        <v>637</v>
      </c>
      <c r="B638">
        <v>24</v>
      </c>
      <c r="C638" t="s">
        <v>13</v>
      </c>
      <c r="D638" t="s">
        <v>22</v>
      </c>
      <c r="E638" t="s">
        <v>145</v>
      </c>
      <c r="F638" t="s">
        <v>92</v>
      </c>
      <c r="G638" t="s">
        <v>31</v>
      </c>
      <c r="H638" t="s">
        <v>18</v>
      </c>
      <c r="I638" t="s">
        <v>134</v>
      </c>
      <c r="J638">
        <v>5</v>
      </c>
      <c r="K638" t="s">
        <v>28</v>
      </c>
      <c r="L638">
        <v>4</v>
      </c>
      <c r="M638">
        <v>8</v>
      </c>
    </row>
    <row r="639" spans="1:13" x14ac:dyDescent="0.3">
      <c r="A639">
        <v>638</v>
      </c>
      <c r="B639">
        <v>21</v>
      </c>
      <c r="C639" t="s">
        <v>21</v>
      </c>
      <c r="D639" t="s">
        <v>14</v>
      </c>
      <c r="E639" t="s">
        <v>144</v>
      </c>
      <c r="F639" t="s">
        <v>197</v>
      </c>
      <c r="G639" t="s">
        <v>17</v>
      </c>
      <c r="H639" t="s">
        <v>26</v>
      </c>
      <c r="I639" t="s">
        <v>27</v>
      </c>
      <c r="J639">
        <v>7</v>
      </c>
      <c r="K639" t="s">
        <v>20</v>
      </c>
      <c r="L639">
        <v>2</v>
      </c>
      <c r="M639">
        <v>5</v>
      </c>
    </row>
    <row r="640" spans="1:13" x14ac:dyDescent="0.3">
      <c r="A640">
        <v>639</v>
      </c>
      <c r="B640">
        <v>23</v>
      </c>
      <c r="C640" t="s">
        <v>13</v>
      </c>
      <c r="D640" t="s">
        <v>22</v>
      </c>
      <c r="E640" t="s">
        <v>58</v>
      </c>
      <c r="F640" t="s">
        <v>134</v>
      </c>
      <c r="G640" t="s">
        <v>41</v>
      </c>
      <c r="H640" t="s">
        <v>18</v>
      </c>
      <c r="I640" t="s">
        <v>57</v>
      </c>
      <c r="J640">
        <v>5</v>
      </c>
      <c r="K640" t="s">
        <v>28</v>
      </c>
      <c r="L640">
        <v>4</v>
      </c>
      <c r="M640">
        <v>8</v>
      </c>
    </row>
    <row r="641" spans="1:13" x14ac:dyDescent="0.3">
      <c r="A641">
        <v>640</v>
      </c>
      <c r="B641">
        <v>20</v>
      </c>
      <c r="C641" t="s">
        <v>21</v>
      </c>
      <c r="D641" t="s">
        <v>14</v>
      </c>
      <c r="E641" t="s">
        <v>73</v>
      </c>
      <c r="F641" t="s">
        <v>40</v>
      </c>
      <c r="G641" t="s">
        <v>25</v>
      </c>
      <c r="H641" t="s">
        <v>26</v>
      </c>
      <c r="I641" t="s">
        <v>83</v>
      </c>
      <c r="J641">
        <v>7</v>
      </c>
      <c r="K641" t="s">
        <v>20</v>
      </c>
      <c r="L641">
        <v>2</v>
      </c>
      <c r="M641">
        <v>5</v>
      </c>
    </row>
    <row r="642" spans="1:13" x14ac:dyDescent="0.3">
      <c r="A642">
        <v>641</v>
      </c>
      <c r="B642">
        <v>22</v>
      </c>
      <c r="C642" t="s">
        <v>13</v>
      </c>
      <c r="D642" t="s">
        <v>22</v>
      </c>
      <c r="E642" t="s">
        <v>91</v>
      </c>
      <c r="F642" t="s">
        <v>78</v>
      </c>
      <c r="G642" t="s">
        <v>17</v>
      </c>
      <c r="H642" t="s">
        <v>18</v>
      </c>
      <c r="I642" t="s">
        <v>19</v>
      </c>
      <c r="J642">
        <v>6</v>
      </c>
      <c r="K642" t="s">
        <v>28</v>
      </c>
      <c r="L642">
        <v>3</v>
      </c>
      <c r="M642">
        <v>7</v>
      </c>
    </row>
    <row r="643" spans="1:13" x14ac:dyDescent="0.3">
      <c r="A643">
        <v>642</v>
      </c>
      <c r="B643">
        <v>19</v>
      </c>
      <c r="C643" t="s">
        <v>21</v>
      </c>
      <c r="D643" t="s">
        <v>14</v>
      </c>
      <c r="E643" t="s">
        <v>23</v>
      </c>
      <c r="F643" t="s">
        <v>43</v>
      </c>
      <c r="G643" t="s">
        <v>31</v>
      </c>
      <c r="H643" t="s">
        <v>18</v>
      </c>
      <c r="I643" t="s">
        <v>72</v>
      </c>
      <c r="J643">
        <v>4</v>
      </c>
      <c r="K643" t="s">
        <v>28</v>
      </c>
      <c r="L643">
        <v>5</v>
      </c>
      <c r="M643">
        <v>9</v>
      </c>
    </row>
    <row r="644" spans="1:13" x14ac:dyDescent="0.3">
      <c r="A644">
        <v>643</v>
      </c>
      <c r="B644">
        <v>24</v>
      </c>
      <c r="C644" t="s">
        <v>13</v>
      </c>
      <c r="D644" t="s">
        <v>22</v>
      </c>
      <c r="E644" t="s">
        <v>81</v>
      </c>
      <c r="F644" t="s">
        <v>123</v>
      </c>
      <c r="G644" t="s">
        <v>41</v>
      </c>
      <c r="H644" t="s">
        <v>26</v>
      </c>
      <c r="I644" t="s">
        <v>43</v>
      </c>
      <c r="J644">
        <v>7</v>
      </c>
      <c r="K644" t="s">
        <v>20</v>
      </c>
      <c r="L644">
        <v>2</v>
      </c>
      <c r="M644">
        <v>5</v>
      </c>
    </row>
    <row r="645" spans="1:13" x14ac:dyDescent="0.3">
      <c r="A645">
        <v>644</v>
      </c>
      <c r="B645">
        <v>21</v>
      </c>
      <c r="C645" t="s">
        <v>21</v>
      </c>
      <c r="D645" t="s">
        <v>14</v>
      </c>
      <c r="E645" t="s">
        <v>109</v>
      </c>
      <c r="F645" t="s">
        <v>65</v>
      </c>
      <c r="G645" t="s">
        <v>17</v>
      </c>
      <c r="H645" t="s">
        <v>18</v>
      </c>
      <c r="I645" t="s">
        <v>30</v>
      </c>
      <c r="J645">
        <v>5</v>
      </c>
      <c r="K645" t="s">
        <v>28</v>
      </c>
      <c r="L645">
        <v>4</v>
      </c>
      <c r="M645">
        <v>8</v>
      </c>
    </row>
    <row r="646" spans="1:13" x14ac:dyDescent="0.3">
      <c r="A646">
        <v>645</v>
      </c>
      <c r="B646">
        <v>23</v>
      </c>
      <c r="C646" t="s">
        <v>13</v>
      </c>
      <c r="D646" t="s">
        <v>22</v>
      </c>
      <c r="E646" t="s">
        <v>29</v>
      </c>
      <c r="F646" t="s">
        <v>80</v>
      </c>
      <c r="G646" t="s">
        <v>25</v>
      </c>
      <c r="H646" t="s">
        <v>18</v>
      </c>
      <c r="I646" t="s">
        <v>65</v>
      </c>
      <c r="J646">
        <v>6</v>
      </c>
      <c r="K646" t="s">
        <v>20</v>
      </c>
      <c r="L646">
        <v>3</v>
      </c>
      <c r="M646">
        <v>7</v>
      </c>
    </row>
    <row r="647" spans="1:13" x14ac:dyDescent="0.3">
      <c r="A647">
        <v>646</v>
      </c>
      <c r="B647">
        <v>22</v>
      </c>
      <c r="C647" t="s">
        <v>21</v>
      </c>
      <c r="D647" t="s">
        <v>22</v>
      </c>
      <c r="E647" t="s">
        <v>62</v>
      </c>
      <c r="F647" t="s">
        <v>132</v>
      </c>
      <c r="G647" t="s">
        <v>41</v>
      </c>
      <c r="H647" t="s">
        <v>18</v>
      </c>
      <c r="I647" t="s">
        <v>57</v>
      </c>
      <c r="J647">
        <v>5</v>
      </c>
      <c r="K647" t="s">
        <v>28</v>
      </c>
      <c r="L647">
        <v>4</v>
      </c>
      <c r="M647">
        <v>8</v>
      </c>
    </row>
    <row r="648" spans="1:13" x14ac:dyDescent="0.3">
      <c r="A648">
        <v>647</v>
      </c>
      <c r="B648">
        <v>20</v>
      </c>
      <c r="C648" t="s">
        <v>13</v>
      </c>
      <c r="D648" t="s">
        <v>14</v>
      </c>
      <c r="E648" t="s">
        <v>55</v>
      </c>
      <c r="F648" t="s">
        <v>56</v>
      </c>
      <c r="G648" t="s">
        <v>17</v>
      </c>
      <c r="H648" t="s">
        <v>26</v>
      </c>
      <c r="I648" t="s">
        <v>127</v>
      </c>
      <c r="J648">
        <v>7</v>
      </c>
      <c r="K648" t="s">
        <v>20</v>
      </c>
      <c r="L648">
        <v>2</v>
      </c>
      <c r="M648">
        <v>5</v>
      </c>
    </row>
    <row r="649" spans="1:13" x14ac:dyDescent="0.3">
      <c r="A649">
        <v>648</v>
      </c>
      <c r="B649">
        <v>23</v>
      </c>
      <c r="C649" t="s">
        <v>21</v>
      </c>
      <c r="D649" t="s">
        <v>22</v>
      </c>
      <c r="E649" t="s">
        <v>39</v>
      </c>
      <c r="F649" t="s">
        <v>72</v>
      </c>
      <c r="G649" t="s">
        <v>31</v>
      </c>
      <c r="H649" t="s">
        <v>18</v>
      </c>
      <c r="I649" t="s">
        <v>95</v>
      </c>
      <c r="J649">
        <v>6</v>
      </c>
      <c r="K649" t="s">
        <v>28</v>
      </c>
      <c r="L649">
        <v>3</v>
      </c>
      <c r="M649">
        <v>7</v>
      </c>
    </row>
    <row r="650" spans="1:13" x14ac:dyDescent="0.3">
      <c r="A650">
        <v>649</v>
      </c>
      <c r="B650">
        <v>21</v>
      </c>
      <c r="C650" t="s">
        <v>13</v>
      </c>
      <c r="D650" t="s">
        <v>14</v>
      </c>
      <c r="E650" t="s">
        <v>35</v>
      </c>
      <c r="F650" t="s">
        <v>57</v>
      </c>
      <c r="G650" t="s">
        <v>25</v>
      </c>
      <c r="H650" t="s">
        <v>18</v>
      </c>
      <c r="I650" t="s">
        <v>132</v>
      </c>
      <c r="J650">
        <v>5</v>
      </c>
      <c r="K650" t="s">
        <v>28</v>
      </c>
      <c r="L650">
        <v>4</v>
      </c>
      <c r="M650">
        <v>8</v>
      </c>
    </row>
    <row r="651" spans="1:13" x14ac:dyDescent="0.3">
      <c r="A651">
        <v>650</v>
      </c>
      <c r="B651">
        <v>24</v>
      </c>
      <c r="C651" t="s">
        <v>21</v>
      </c>
      <c r="D651" t="s">
        <v>22</v>
      </c>
      <c r="E651" t="s">
        <v>60</v>
      </c>
      <c r="F651" t="s">
        <v>77</v>
      </c>
      <c r="G651" t="s">
        <v>41</v>
      </c>
      <c r="H651" t="s">
        <v>26</v>
      </c>
      <c r="I651" t="s">
        <v>43</v>
      </c>
      <c r="J651">
        <v>7</v>
      </c>
      <c r="K651" t="s">
        <v>20</v>
      </c>
      <c r="L651">
        <v>2</v>
      </c>
      <c r="M651">
        <v>5</v>
      </c>
    </row>
    <row r="652" spans="1:13" x14ac:dyDescent="0.3">
      <c r="A652">
        <v>651</v>
      </c>
      <c r="B652">
        <v>19</v>
      </c>
      <c r="C652" t="s">
        <v>13</v>
      </c>
      <c r="D652" t="s">
        <v>14</v>
      </c>
      <c r="E652" t="s">
        <v>63</v>
      </c>
      <c r="F652" t="s">
        <v>65</v>
      </c>
      <c r="G652" t="s">
        <v>17</v>
      </c>
      <c r="H652" t="s">
        <v>18</v>
      </c>
      <c r="I652" t="s">
        <v>78</v>
      </c>
      <c r="J652">
        <v>4</v>
      </c>
      <c r="K652" t="s">
        <v>28</v>
      </c>
      <c r="L652">
        <v>5</v>
      </c>
      <c r="M652">
        <v>9</v>
      </c>
    </row>
    <row r="653" spans="1:13" x14ac:dyDescent="0.3">
      <c r="A653">
        <v>652</v>
      </c>
      <c r="B653">
        <v>22</v>
      </c>
      <c r="C653" t="s">
        <v>21</v>
      </c>
      <c r="D653" t="s">
        <v>22</v>
      </c>
      <c r="E653" t="s">
        <v>66</v>
      </c>
      <c r="F653" t="s">
        <v>110</v>
      </c>
      <c r="G653" t="s">
        <v>222</v>
      </c>
      <c r="H653" t="s">
        <v>18</v>
      </c>
      <c r="I653" t="s">
        <v>75</v>
      </c>
      <c r="J653">
        <v>6</v>
      </c>
      <c r="K653" t="s">
        <v>20</v>
      </c>
      <c r="L653">
        <v>3</v>
      </c>
      <c r="M653">
        <v>7</v>
      </c>
    </row>
    <row r="654" spans="1:13" x14ac:dyDescent="0.3">
      <c r="A654">
        <v>653</v>
      </c>
      <c r="B654">
        <v>20</v>
      </c>
      <c r="C654" t="s">
        <v>13</v>
      </c>
      <c r="D654" t="s">
        <v>14</v>
      </c>
      <c r="E654" t="s">
        <v>51</v>
      </c>
      <c r="F654" t="s">
        <v>197</v>
      </c>
      <c r="G654" t="s">
        <v>25</v>
      </c>
      <c r="H654" t="s">
        <v>26</v>
      </c>
      <c r="I654" t="s">
        <v>27</v>
      </c>
      <c r="J654">
        <v>8</v>
      </c>
      <c r="K654" t="s">
        <v>28</v>
      </c>
      <c r="L654">
        <v>2</v>
      </c>
      <c r="M654">
        <v>4</v>
      </c>
    </row>
    <row r="655" spans="1:13" x14ac:dyDescent="0.3">
      <c r="A655">
        <v>654</v>
      </c>
      <c r="B655">
        <v>23</v>
      </c>
      <c r="C655" t="s">
        <v>21</v>
      </c>
      <c r="D655" t="s">
        <v>22</v>
      </c>
      <c r="E655" t="s">
        <v>145</v>
      </c>
      <c r="F655" t="s">
        <v>57</v>
      </c>
      <c r="G655" t="s">
        <v>31</v>
      </c>
      <c r="H655" t="s">
        <v>18</v>
      </c>
      <c r="I655" t="s">
        <v>132</v>
      </c>
      <c r="J655">
        <v>5</v>
      </c>
      <c r="K655" t="s">
        <v>28</v>
      </c>
      <c r="L655">
        <v>4</v>
      </c>
      <c r="M655">
        <v>8</v>
      </c>
    </row>
    <row r="656" spans="1:13" x14ac:dyDescent="0.3">
      <c r="A656">
        <v>655</v>
      </c>
      <c r="B656">
        <v>21</v>
      </c>
      <c r="C656" t="s">
        <v>13</v>
      </c>
      <c r="D656" t="s">
        <v>14</v>
      </c>
      <c r="E656" t="s">
        <v>144</v>
      </c>
      <c r="F656" t="s">
        <v>97</v>
      </c>
      <c r="G656" t="s">
        <v>17</v>
      </c>
      <c r="H656" t="s">
        <v>26</v>
      </c>
      <c r="I656" t="s">
        <v>100</v>
      </c>
      <c r="J656">
        <v>7</v>
      </c>
      <c r="K656" t="s">
        <v>20</v>
      </c>
      <c r="L656">
        <v>2</v>
      </c>
      <c r="M656">
        <v>5</v>
      </c>
    </row>
    <row r="657" spans="1:13" x14ac:dyDescent="0.3">
      <c r="A657">
        <v>656</v>
      </c>
      <c r="B657">
        <v>24</v>
      </c>
      <c r="C657" t="s">
        <v>21</v>
      </c>
      <c r="D657" t="s">
        <v>22</v>
      </c>
      <c r="E657" t="s">
        <v>58</v>
      </c>
      <c r="F657" t="s">
        <v>19</v>
      </c>
      <c r="G657" t="s">
        <v>41</v>
      </c>
      <c r="H657" t="s">
        <v>18</v>
      </c>
      <c r="I657" t="s">
        <v>92</v>
      </c>
      <c r="J657">
        <v>5</v>
      </c>
      <c r="K657" t="s">
        <v>28</v>
      </c>
      <c r="L657">
        <v>4</v>
      </c>
      <c r="M657">
        <v>8</v>
      </c>
    </row>
    <row r="658" spans="1:13" x14ac:dyDescent="0.3">
      <c r="A658">
        <v>657</v>
      </c>
      <c r="B658">
        <v>19</v>
      </c>
      <c r="C658" t="s">
        <v>13</v>
      </c>
      <c r="D658" t="s">
        <v>14</v>
      </c>
      <c r="E658" t="s">
        <v>73</v>
      </c>
      <c r="F658" t="s">
        <v>123</v>
      </c>
      <c r="G658" t="s">
        <v>25</v>
      </c>
      <c r="H658" t="s">
        <v>26</v>
      </c>
      <c r="I658" t="s">
        <v>83</v>
      </c>
      <c r="J658">
        <v>7</v>
      </c>
      <c r="K658" t="s">
        <v>20</v>
      </c>
      <c r="L658">
        <v>2</v>
      </c>
      <c r="M658">
        <v>5</v>
      </c>
    </row>
    <row r="659" spans="1:13" x14ac:dyDescent="0.3">
      <c r="A659">
        <v>658</v>
      </c>
      <c r="B659">
        <v>22</v>
      </c>
      <c r="C659" t="s">
        <v>21</v>
      </c>
      <c r="D659" t="s">
        <v>22</v>
      </c>
      <c r="E659" t="s">
        <v>91</v>
      </c>
      <c r="F659" t="s">
        <v>49</v>
      </c>
      <c r="G659" t="s">
        <v>17</v>
      </c>
      <c r="H659" t="s">
        <v>18</v>
      </c>
      <c r="I659" t="s">
        <v>95</v>
      </c>
      <c r="J659">
        <v>6</v>
      </c>
      <c r="K659" t="s">
        <v>28</v>
      </c>
      <c r="L659">
        <v>3</v>
      </c>
      <c r="M659">
        <v>7</v>
      </c>
    </row>
    <row r="660" spans="1:13" x14ac:dyDescent="0.3">
      <c r="A660">
        <v>659</v>
      </c>
      <c r="B660">
        <v>20</v>
      </c>
      <c r="C660" t="s">
        <v>13</v>
      </c>
      <c r="D660" t="s">
        <v>14</v>
      </c>
      <c r="E660" t="s">
        <v>23</v>
      </c>
      <c r="F660" t="s">
        <v>127</v>
      </c>
      <c r="G660" t="s">
        <v>31</v>
      </c>
      <c r="H660" t="s">
        <v>18</v>
      </c>
      <c r="I660" t="s">
        <v>49</v>
      </c>
      <c r="J660">
        <v>4</v>
      </c>
      <c r="K660" t="s">
        <v>28</v>
      </c>
      <c r="L660">
        <v>5</v>
      </c>
      <c r="M660">
        <v>9</v>
      </c>
    </row>
    <row r="661" spans="1:13" x14ac:dyDescent="0.3">
      <c r="A661">
        <v>660</v>
      </c>
      <c r="B661">
        <v>23</v>
      </c>
      <c r="C661" t="s">
        <v>21</v>
      </c>
      <c r="D661" t="s">
        <v>22</v>
      </c>
      <c r="E661" t="s">
        <v>81</v>
      </c>
      <c r="F661" t="s">
        <v>40</v>
      </c>
      <c r="G661" t="s">
        <v>41</v>
      </c>
      <c r="H661" t="s">
        <v>26</v>
      </c>
      <c r="I661" t="s">
        <v>83</v>
      </c>
      <c r="J661">
        <v>7</v>
      </c>
      <c r="K661" t="s">
        <v>20</v>
      </c>
      <c r="L661">
        <v>2</v>
      </c>
      <c r="M661">
        <v>5</v>
      </c>
    </row>
    <row r="662" spans="1:13" x14ac:dyDescent="0.3">
      <c r="A662">
        <v>661</v>
      </c>
      <c r="B662">
        <v>21</v>
      </c>
      <c r="C662" t="s">
        <v>13</v>
      </c>
      <c r="D662" t="s">
        <v>14</v>
      </c>
      <c r="E662" t="s">
        <v>109</v>
      </c>
      <c r="F662" t="s">
        <v>75</v>
      </c>
      <c r="G662" t="s">
        <v>17</v>
      </c>
      <c r="H662" t="s">
        <v>18</v>
      </c>
      <c r="I662" t="s">
        <v>30</v>
      </c>
      <c r="J662">
        <v>5</v>
      </c>
      <c r="K662" t="s">
        <v>28</v>
      </c>
      <c r="L662">
        <v>4</v>
      </c>
      <c r="M662">
        <v>8</v>
      </c>
    </row>
    <row r="663" spans="1:13" x14ac:dyDescent="0.3">
      <c r="A663">
        <v>662</v>
      </c>
      <c r="B663">
        <v>24</v>
      </c>
      <c r="C663" t="s">
        <v>21</v>
      </c>
      <c r="D663" t="s">
        <v>22</v>
      </c>
      <c r="E663" t="s">
        <v>29</v>
      </c>
      <c r="F663" t="s">
        <v>87</v>
      </c>
      <c r="G663" t="s">
        <v>25</v>
      </c>
      <c r="H663" t="s">
        <v>18</v>
      </c>
      <c r="I663" t="s">
        <v>65</v>
      </c>
      <c r="J663">
        <v>6</v>
      </c>
      <c r="K663" t="s">
        <v>20</v>
      </c>
      <c r="L663">
        <v>3</v>
      </c>
      <c r="M663">
        <v>7</v>
      </c>
    </row>
    <row r="664" spans="1:13" x14ac:dyDescent="0.3">
      <c r="A664">
        <v>663</v>
      </c>
      <c r="B664">
        <v>19</v>
      </c>
      <c r="C664" t="s">
        <v>13</v>
      </c>
      <c r="D664" t="s">
        <v>14</v>
      </c>
      <c r="E664" t="s">
        <v>62</v>
      </c>
      <c r="F664" t="s">
        <v>134</v>
      </c>
      <c r="G664" t="s">
        <v>31</v>
      </c>
      <c r="H664" t="s">
        <v>18</v>
      </c>
      <c r="I664" t="s">
        <v>57</v>
      </c>
      <c r="J664">
        <v>5</v>
      </c>
      <c r="K664" t="s">
        <v>28</v>
      </c>
      <c r="L664">
        <v>4</v>
      </c>
      <c r="M664">
        <v>8</v>
      </c>
    </row>
    <row r="665" spans="1:13" x14ac:dyDescent="0.3">
      <c r="A665">
        <v>664</v>
      </c>
      <c r="B665">
        <v>22</v>
      </c>
      <c r="C665" t="s">
        <v>21</v>
      </c>
      <c r="D665" t="s">
        <v>22</v>
      </c>
      <c r="E665" t="s">
        <v>55</v>
      </c>
      <c r="F665" t="s">
        <v>77</v>
      </c>
      <c r="G665" t="s">
        <v>41</v>
      </c>
      <c r="H665" t="s">
        <v>26</v>
      </c>
      <c r="I665" t="s">
        <v>43</v>
      </c>
      <c r="J665">
        <v>7</v>
      </c>
      <c r="K665" t="s">
        <v>20</v>
      </c>
      <c r="L665">
        <v>2</v>
      </c>
      <c r="M665">
        <v>5</v>
      </c>
    </row>
    <row r="666" spans="1:13" x14ac:dyDescent="0.3">
      <c r="A666">
        <v>665</v>
      </c>
      <c r="B666">
        <v>20</v>
      </c>
      <c r="C666" t="s">
        <v>13</v>
      </c>
      <c r="D666" t="s">
        <v>14</v>
      </c>
      <c r="E666" t="s">
        <v>39</v>
      </c>
      <c r="F666" t="s">
        <v>110</v>
      </c>
      <c r="G666" t="s">
        <v>17</v>
      </c>
      <c r="H666" t="s">
        <v>18</v>
      </c>
      <c r="I666" t="s">
        <v>75</v>
      </c>
      <c r="J666">
        <v>6</v>
      </c>
      <c r="K666" t="s">
        <v>28</v>
      </c>
      <c r="L666">
        <v>3</v>
      </c>
      <c r="M666">
        <v>7</v>
      </c>
    </row>
    <row r="667" spans="1:13" x14ac:dyDescent="0.3">
      <c r="A667">
        <v>666</v>
      </c>
      <c r="B667">
        <v>23</v>
      </c>
      <c r="C667" t="s">
        <v>21</v>
      </c>
      <c r="D667" t="s">
        <v>22</v>
      </c>
      <c r="E667" t="s">
        <v>35</v>
      </c>
      <c r="F667" t="s">
        <v>132</v>
      </c>
      <c r="G667" t="s">
        <v>25</v>
      </c>
      <c r="H667" t="s">
        <v>18</v>
      </c>
      <c r="I667" t="s">
        <v>57</v>
      </c>
      <c r="J667">
        <v>5</v>
      </c>
      <c r="K667" t="s">
        <v>28</v>
      </c>
      <c r="L667">
        <v>4</v>
      </c>
      <c r="M667">
        <v>8</v>
      </c>
    </row>
    <row r="668" spans="1:13" x14ac:dyDescent="0.3">
      <c r="A668">
        <v>667</v>
      </c>
      <c r="B668">
        <v>21</v>
      </c>
      <c r="C668" t="s">
        <v>13</v>
      </c>
      <c r="D668" t="s">
        <v>14</v>
      </c>
      <c r="E668" t="s">
        <v>60</v>
      </c>
      <c r="F668" t="s">
        <v>56</v>
      </c>
      <c r="G668" t="s">
        <v>31</v>
      </c>
      <c r="H668" t="s">
        <v>26</v>
      </c>
      <c r="I668" t="s">
        <v>127</v>
      </c>
      <c r="J668">
        <v>7</v>
      </c>
      <c r="K668" t="s">
        <v>20</v>
      </c>
      <c r="L668">
        <v>2</v>
      </c>
      <c r="M668">
        <v>5</v>
      </c>
    </row>
    <row r="669" spans="1:13" x14ac:dyDescent="0.3">
      <c r="A669">
        <v>668</v>
      </c>
      <c r="B669">
        <v>24</v>
      </c>
      <c r="C669" t="s">
        <v>21</v>
      </c>
      <c r="D669" t="s">
        <v>22</v>
      </c>
      <c r="E669" t="s">
        <v>63</v>
      </c>
      <c r="F669" t="s">
        <v>90</v>
      </c>
      <c r="G669" t="s">
        <v>17</v>
      </c>
      <c r="H669" t="s">
        <v>18</v>
      </c>
      <c r="I669" t="s">
        <v>78</v>
      </c>
      <c r="J669">
        <v>4</v>
      </c>
      <c r="K669" t="s">
        <v>28</v>
      </c>
      <c r="L669">
        <v>5</v>
      </c>
      <c r="M669">
        <v>9</v>
      </c>
    </row>
    <row r="670" spans="1:13" x14ac:dyDescent="0.3">
      <c r="A670">
        <v>669</v>
      </c>
      <c r="B670">
        <v>19</v>
      </c>
      <c r="C670" t="s">
        <v>13</v>
      </c>
      <c r="D670" t="s">
        <v>14</v>
      </c>
      <c r="E670" t="s">
        <v>66</v>
      </c>
      <c r="F670" t="s">
        <v>72</v>
      </c>
      <c r="G670" t="s">
        <v>222</v>
      </c>
      <c r="H670" t="s">
        <v>18</v>
      </c>
      <c r="I670" t="s">
        <v>75</v>
      </c>
      <c r="J670">
        <v>6</v>
      </c>
      <c r="K670" t="s">
        <v>20</v>
      </c>
      <c r="L670">
        <v>3</v>
      </c>
      <c r="M670">
        <v>7</v>
      </c>
    </row>
    <row r="671" spans="1:13" x14ac:dyDescent="0.3">
      <c r="A671">
        <v>670</v>
      </c>
      <c r="B671">
        <v>22</v>
      </c>
      <c r="C671" t="s">
        <v>21</v>
      </c>
      <c r="D671" t="s">
        <v>22</v>
      </c>
      <c r="E671" t="s">
        <v>51</v>
      </c>
      <c r="F671" t="s">
        <v>97</v>
      </c>
      <c r="G671" t="s">
        <v>25</v>
      </c>
      <c r="H671" t="s">
        <v>26</v>
      </c>
      <c r="I671" t="s">
        <v>100</v>
      </c>
      <c r="J671">
        <v>8</v>
      </c>
      <c r="K671" t="s">
        <v>28</v>
      </c>
      <c r="L671">
        <v>2</v>
      </c>
      <c r="M671">
        <v>4</v>
      </c>
    </row>
    <row r="672" spans="1:13" x14ac:dyDescent="0.3">
      <c r="A672">
        <v>671</v>
      </c>
      <c r="B672">
        <v>20</v>
      </c>
      <c r="C672" t="s">
        <v>13</v>
      </c>
      <c r="D672" t="s">
        <v>14</v>
      </c>
      <c r="E672" t="s">
        <v>145</v>
      </c>
      <c r="F672" t="s">
        <v>92</v>
      </c>
      <c r="G672" t="s">
        <v>41</v>
      </c>
      <c r="H672" t="s">
        <v>18</v>
      </c>
      <c r="I672" t="s">
        <v>134</v>
      </c>
      <c r="J672">
        <v>5</v>
      </c>
      <c r="K672" t="s">
        <v>28</v>
      </c>
      <c r="L672">
        <v>4</v>
      </c>
      <c r="M672">
        <v>8</v>
      </c>
    </row>
    <row r="673" spans="1:13" x14ac:dyDescent="0.3">
      <c r="A673">
        <v>672</v>
      </c>
      <c r="B673">
        <v>23</v>
      </c>
      <c r="C673" t="s">
        <v>21</v>
      </c>
      <c r="D673" t="s">
        <v>22</v>
      </c>
      <c r="E673" t="s">
        <v>144</v>
      </c>
      <c r="F673" t="s">
        <v>197</v>
      </c>
      <c r="G673" t="s">
        <v>17</v>
      </c>
      <c r="H673" t="s">
        <v>26</v>
      </c>
      <c r="I673" t="s">
        <v>27</v>
      </c>
      <c r="J673">
        <v>7</v>
      </c>
      <c r="K673" t="s">
        <v>20</v>
      </c>
      <c r="L673">
        <v>2</v>
      </c>
      <c r="M673">
        <v>5</v>
      </c>
    </row>
    <row r="674" spans="1:13" x14ac:dyDescent="0.3">
      <c r="A674">
        <v>673</v>
      </c>
      <c r="B674">
        <v>21</v>
      </c>
      <c r="C674" t="s">
        <v>13</v>
      </c>
      <c r="D674" t="s">
        <v>14</v>
      </c>
      <c r="E674" t="s">
        <v>58</v>
      </c>
      <c r="F674" t="s">
        <v>134</v>
      </c>
      <c r="G674" t="s">
        <v>31</v>
      </c>
      <c r="H674" t="s">
        <v>18</v>
      </c>
      <c r="I674" t="s">
        <v>57</v>
      </c>
      <c r="J674">
        <v>5</v>
      </c>
      <c r="K674" t="s">
        <v>28</v>
      </c>
      <c r="L674">
        <v>4</v>
      </c>
      <c r="M674">
        <v>8</v>
      </c>
    </row>
    <row r="675" spans="1:13" x14ac:dyDescent="0.3">
      <c r="A675">
        <v>674</v>
      </c>
      <c r="B675">
        <v>24</v>
      </c>
      <c r="C675" t="s">
        <v>21</v>
      </c>
      <c r="D675" t="s">
        <v>22</v>
      </c>
      <c r="E675" t="s">
        <v>73</v>
      </c>
      <c r="F675" t="s">
        <v>40</v>
      </c>
      <c r="G675" t="s">
        <v>25</v>
      </c>
      <c r="H675" t="s">
        <v>26</v>
      </c>
      <c r="I675" t="s">
        <v>83</v>
      </c>
      <c r="J675">
        <v>7</v>
      </c>
      <c r="K675" t="s">
        <v>20</v>
      </c>
      <c r="L675">
        <v>2</v>
      </c>
      <c r="M675">
        <v>5</v>
      </c>
    </row>
    <row r="676" spans="1:13" x14ac:dyDescent="0.3">
      <c r="A676">
        <v>675</v>
      </c>
      <c r="B676">
        <v>19</v>
      </c>
      <c r="C676" t="s">
        <v>13</v>
      </c>
      <c r="D676" t="s">
        <v>14</v>
      </c>
      <c r="E676" t="s">
        <v>91</v>
      </c>
      <c r="F676" t="s">
        <v>78</v>
      </c>
      <c r="G676" t="s">
        <v>17</v>
      </c>
      <c r="H676" t="s">
        <v>18</v>
      </c>
      <c r="I676" t="s">
        <v>19</v>
      </c>
      <c r="J676">
        <v>6</v>
      </c>
      <c r="K676" t="s">
        <v>28</v>
      </c>
      <c r="L676">
        <v>3</v>
      </c>
      <c r="M676">
        <v>7</v>
      </c>
    </row>
    <row r="677" spans="1:13" x14ac:dyDescent="0.3">
      <c r="A677">
        <v>676</v>
      </c>
      <c r="B677">
        <v>22</v>
      </c>
      <c r="C677" t="s">
        <v>21</v>
      </c>
      <c r="D677" t="s">
        <v>22</v>
      </c>
      <c r="E677" t="s">
        <v>23</v>
      </c>
      <c r="F677" t="s">
        <v>43</v>
      </c>
      <c r="G677" t="s">
        <v>41</v>
      </c>
      <c r="H677" t="s">
        <v>18</v>
      </c>
      <c r="I677" t="s">
        <v>72</v>
      </c>
      <c r="J677">
        <v>4</v>
      </c>
      <c r="K677" t="s">
        <v>28</v>
      </c>
      <c r="L677">
        <v>5</v>
      </c>
      <c r="M677">
        <v>9</v>
      </c>
    </row>
    <row r="678" spans="1:13" x14ac:dyDescent="0.3">
      <c r="A678">
        <v>677</v>
      </c>
      <c r="B678">
        <v>20</v>
      </c>
      <c r="C678" t="s">
        <v>13</v>
      </c>
      <c r="D678" t="s">
        <v>14</v>
      </c>
      <c r="E678" t="s">
        <v>81</v>
      </c>
      <c r="F678" t="s">
        <v>123</v>
      </c>
      <c r="G678" t="s">
        <v>31</v>
      </c>
      <c r="H678" t="s">
        <v>26</v>
      </c>
      <c r="I678" t="s">
        <v>43</v>
      </c>
      <c r="J678">
        <v>7</v>
      </c>
      <c r="K678" t="s">
        <v>20</v>
      </c>
      <c r="L678">
        <v>2</v>
      </c>
      <c r="M678">
        <v>5</v>
      </c>
    </row>
    <row r="679" spans="1:13" x14ac:dyDescent="0.3">
      <c r="A679">
        <v>678</v>
      </c>
      <c r="B679">
        <v>23</v>
      </c>
      <c r="C679" t="s">
        <v>21</v>
      </c>
      <c r="D679" t="s">
        <v>22</v>
      </c>
      <c r="E679" t="s">
        <v>109</v>
      </c>
      <c r="F679" t="s">
        <v>65</v>
      </c>
      <c r="G679" t="s">
        <v>17</v>
      </c>
      <c r="H679" t="s">
        <v>18</v>
      </c>
      <c r="I679" t="s">
        <v>30</v>
      </c>
      <c r="J679">
        <v>5</v>
      </c>
      <c r="K679" t="s">
        <v>28</v>
      </c>
      <c r="L679">
        <v>4</v>
      </c>
      <c r="M679">
        <v>8</v>
      </c>
    </row>
    <row r="680" spans="1:13" x14ac:dyDescent="0.3">
      <c r="A680">
        <v>679</v>
      </c>
      <c r="B680">
        <v>21</v>
      </c>
      <c r="C680" t="s">
        <v>13</v>
      </c>
      <c r="D680" t="s">
        <v>14</v>
      </c>
      <c r="E680" t="s">
        <v>29</v>
      </c>
      <c r="F680" t="s">
        <v>80</v>
      </c>
      <c r="G680" t="s">
        <v>25</v>
      </c>
      <c r="H680" t="s">
        <v>18</v>
      </c>
      <c r="I680" t="s">
        <v>65</v>
      </c>
      <c r="J680">
        <v>6</v>
      </c>
      <c r="K680" t="s">
        <v>20</v>
      </c>
      <c r="L680">
        <v>3</v>
      </c>
      <c r="M680">
        <v>7</v>
      </c>
    </row>
    <row r="681" spans="1:13" x14ac:dyDescent="0.3">
      <c r="A681">
        <v>680</v>
      </c>
      <c r="B681">
        <v>24</v>
      </c>
      <c r="C681" t="s">
        <v>21</v>
      </c>
      <c r="D681" t="s">
        <v>22</v>
      </c>
      <c r="E681" t="s">
        <v>62</v>
      </c>
      <c r="F681" t="s">
        <v>57</v>
      </c>
      <c r="G681" t="s">
        <v>41</v>
      </c>
      <c r="H681" t="s">
        <v>18</v>
      </c>
      <c r="I681" t="s">
        <v>132</v>
      </c>
      <c r="J681">
        <v>5</v>
      </c>
      <c r="K681" t="s">
        <v>28</v>
      </c>
      <c r="L681">
        <v>4</v>
      </c>
      <c r="M681">
        <v>8</v>
      </c>
    </row>
    <row r="682" spans="1:13" x14ac:dyDescent="0.3">
      <c r="A682">
        <v>681</v>
      </c>
      <c r="B682">
        <v>19</v>
      </c>
      <c r="C682" t="s">
        <v>13</v>
      </c>
      <c r="D682" t="s">
        <v>14</v>
      </c>
      <c r="E682" t="s">
        <v>55</v>
      </c>
      <c r="F682" t="s">
        <v>77</v>
      </c>
      <c r="G682" t="s">
        <v>17</v>
      </c>
      <c r="H682" t="s">
        <v>26</v>
      </c>
      <c r="I682" t="s">
        <v>43</v>
      </c>
      <c r="J682">
        <v>7</v>
      </c>
      <c r="K682" t="s">
        <v>20</v>
      </c>
      <c r="L682">
        <v>2</v>
      </c>
      <c r="M682">
        <v>5</v>
      </c>
    </row>
    <row r="683" spans="1:13" x14ac:dyDescent="0.3">
      <c r="A683">
        <v>682</v>
      </c>
      <c r="B683">
        <v>22</v>
      </c>
      <c r="C683" t="s">
        <v>21</v>
      </c>
      <c r="D683" t="s">
        <v>22</v>
      </c>
      <c r="E683" t="s">
        <v>39</v>
      </c>
      <c r="F683" t="s">
        <v>49</v>
      </c>
      <c r="G683" t="s">
        <v>31</v>
      </c>
      <c r="H683" t="s">
        <v>18</v>
      </c>
      <c r="I683" t="s">
        <v>95</v>
      </c>
      <c r="J683">
        <v>6</v>
      </c>
      <c r="K683" t="s">
        <v>28</v>
      </c>
      <c r="L683">
        <v>3</v>
      </c>
      <c r="M683">
        <v>7</v>
      </c>
    </row>
    <row r="684" spans="1:13" x14ac:dyDescent="0.3">
      <c r="A684">
        <v>683</v>
      </c>
      <c r="B684">
        <v>20</v>
      </c>
      <c r="C684" t="s">
        <v>13</v>
      </c>
      <c r="D684" t="s">
        <v>14</v>
      </c>
      <c r="E684" t="s">
        <v>35</v>
      </c>
      <c r="F684" t="s">
        <v>92</v>
      </c>
      <c r="G684" t="s">
        <v>25</v>
      </c>
      <c r="H684" t="s">
        <v>18</v>
      </c>
      <c r="I684" t="s">
        <v>134</v>
      </c>
      <c r="J684">
        <v>5</v>
      </c>
      <c r="K684" t="s">
        <v>28</v>
      </c>
      <c r="L684">
        <v>4</v>
      </c>
      <c r="M684">
        <v>8</v>
      </c>
    </row>
    <row r="685" spans="1:13" x14ac:dyDescent="0.3">
      <c r="A685">
        <v>684</v>
      </c>
      <c r="B685">
        <v>23</v>
      </c>
      <c r="C685" t="s">
        <v>21</v>
      </c>
      <c r="D685" t="s">
        <v>22</v>
      </c>
      <c r="E685" t="s">
        <v>60</v>
      </c>
      <c r="F685" t="s">
        <v>56</v>
      </c>
      <c r="G685" t="s">
        <v>41</v>
      </c>
      <c r="H685" t="s">
        <v>26</v>
      </c>
      <c r="I685" t="s">
        <v>127</v>
      </c>
      <c r="J685">
        <v>7</v>
      </c>
      <c r="K685" t="s">
        <v>20</v>
      </c>
      <c r="L685">
        <v>2</v>
      </c>
      <c r="M685">
        <v>5</v>
      </c>
    </row>
    <row r="686" spans="1:13" x14ac:dyDescent="0.3">
      <c r="A686">
        <v>685</v>
      </c>
      <c r="B686">
        <v>21</v>
      </c>
      <c r="C686" t="s">
        <v>13</v>
      </c>
      <c r="D686" t="s">
        <v>14</v>
      </c>
      <c r="E686" t="s">
        <v>63</v>
      </c>
      <c r="F686" t="s">
        <v>75</v>
      </c>
      <c r="G686" t="s">
        <v>17</v>
      </c>
      <c r="H686" t="s">
        <v>18</v>
      </c>
      <c r="I686" t="s">
        <v>30</v>
      </c>
      <c r="J686">
        <v>4</v>
      </c>
      <c r="K686" t="s">
        <v>28</v>
      </c>
      <c r="L686">
        <v>5</v>
      </c>
      <c r="M686">
        <v>9</v>
      </c>
    </row>
    <row r="687" spans="1:13" x14ac:dyDescent="0.3">
      <c r="A687">
        <v>686</v>
      </c>
      <c r="B687">
        <v>24</v>
      </c>
      <c r="C687" t="s">
        <v>21</v>
      </c>
      <c r="D687" t="s">
        <v>22</v>
      </c>
      <c r="E687" t="s">
        <v>66</v>
      </c>
      <c r="F687" t="s">
        <v>59</v>
      </c>
      <c r="G687" t="s">
        <v>222</v>
      </c>
      <c r="H687" t="s">
        <v>18</v>
      </c>
      <c r="I687" t="s">
        <v>65</v>
      </c>
      <c r="J687">
        <v>6</v>
      </c>
      <c r="K687" t="s">
        <v>20</v>
      </c>
      <c r="L687">
        <v>3</v>
      </c>
      <c r="M687">
        <v>7</v>
      </c>
    </row>
    <row r="688" spans="1:13" x14ac:dyDescent="0.3">
      <c r="A688">
        <v>687</v>
      </c>
      <c r="B688">
        <v>19</v>
      </c>
      <c r="C688" t="s">
        <v>13</v>
      </c>
      <c r="D688" t="s">
        <v>14</v>
      </c>
      <c r="E688" t="s">
        <v>51</v>
      </c>
      <c r="F688" t="s">
        <v>67</v>
      </c>
      <c r="G688" t="s">
        <v>25</v>
      </c>
      <c r="H688" t="s">
        <v>26</v>
      </c>
      <c r="I688" t="s">
        <v>27</v>
      </c>
      <c r="J688">
        <v>8</v>
      </c>
      <c r="K688" t="s">
        <v>28</v>
      </c>
      <c r="L688">
        <v>2</v>
      </c>
      <c r="M688">
        <v>4</v>
      </c>
    </row>
    <row r="689" spans="1:13" x14ac:dyDescent="0.3">
      <c r="A689">
        <v>688</v>
      </c>
      <c r="B689">
        <v>22</v>
      </c>
      <c r="C689" t="s">
        <v>21</v>
      </c>
      <c r="D689" t="s">
        <v>22</v>
      </c>
      <c r="E689" t="s">
        <v>145</v>
      </c>
      <c r="F689" t="s">
        <v>132</v>
      </c>
      <c r="G689" t="s">
        <v>31</v>
      </c>
      <c r="H689" t="s">
        <v>18</v>
      </c>
      <c r="I689" t="s">
        <v>57</v>
      </c>
      <c r="J689">
        <v>5</v>
      </c>
      <c r="K689" t="s">
        <v>28</v>
      </c>
      <c r="L689">
        <v>4</v>
      </c>
      <c r="M689">
        <v>8</v>
      </c>
    </row>
    <row r="690" spans="1:13" x14ac:dyDescent="0.3">
      <c r="A690">
        <v>689</v>
      </c>
      <c r="B690">
        <v>20</v>
      </c>
      <c r="C690" t="s">
        <v>13</v>
      </c>
      <c r="D690" t="s">
        <v>14</v>
      </c>
      <c r="E690" t="s">
        <v>144</v>
      </c>
      <c r="F690" t="s">
        <v>97</v>
      </c>
      <c r="G690" t="s">
        <v>17</v>
      </c>
      <c r="H690" t="s">
        <v>26</v>
      </c>
      <c r="I690" t="s">
        <v>100</v>
      </c>
      <c r="J690">
        <v>7</v>
      </c>
      <c r="K690" t="s">
        <v>20</v>
      </c>
      <c r="L690">
        <v>2</v>
      </c>
      <c r="M690">
        <v>5</v>
      </c>
    </row>
    <row r="691" spans="1:13" x14ac:dyDescent="0.3">
      <c r="A691">
        <v>690</v>
      </c>
      <c r="B691">
        <v>23</v>
      </c>
      <c r="C691" t="s">
        <v>21</v>
      </c>
      <c r="D691" t="s">
        <v>22</v>
      </c>
      <c r="E691" t="s">
        <v>58</v>
      </c>
      <c r="F691" t="s">
        <v>19</v>
      </c>
      <c r="G691" t="s">
        <v>41</v>
      </c>
      <c r="H691" t="s">
        <v>18</v>
      </c>
      <c r="I691" t="s">
        <v>92</v>
      </c>
      <c r="J691">
        <v>5</v>
      </c>
      <c r="K691" t="s">
        <v>28</v>
      </c>
      <c r="L691">
        <v>4</v>
      </c>
      <c r="M691">
        <v>8</v>
      </c>
    </row>
    <row r="692" spans="1:13" x14ac:dyDescent="0.3">
      <c r="A692">
        <v>691</v>
      </c>
      <c r="B692">
        <v>21</v>
      </c>
      <c r="C692" t="s">
        <v>13</v>
      </c>
      <c r="D692" t="s">
        <v>14</v>
      </c>
      <c r="E692" t="s">
        <v>73</v>
      </c>
      <c r="F692" t="s">
        <v>123</v>
      </c>
      <c r="G692" t="s">
        <v>25</v>
      </c>
      <c r="H692" t="s">
        <v>26</v>
      </c>
      <c r="I692" t="s">
        <v>83</v>
      </c>
      <c r="J692">
        <v>7</v>
      </c>
      <c r="K692" t="s">
        <v>20</v>
      </c>
      <c r="L692">
        <v>2</v>
      </c>
      <c r="M692">
        <v>5</v>
      </c>
    </row>
    <row r="693" spans="1:13" x14ac:dyDescent="0.3">
      <c r="A693">
        <v>692</v>
      </c>
      <c r="B693">
        <v>24</v>
      </c>
      <c r="C693" t="s">
        <v>21</v>
      </c>
      <c r="D693" t="s">
        <v>22</v>
      </c>
      <c r="E693" t="s">
        <v>91</v>
      </c>
      <c r="F693" t="s">
        <v>78</v>
      </c>
      <c r="G693" t="s">
        <v>17</v>
      </c>
      <c r="H693" t="s">
        <v>18</v>
      </c>
      <c r="I693" t="s">
        <v>19</v>
      </c>
      <c r="J693">
        <v>6</v>
      </c>
      <c r="K693" t="s">
        <v>28</v>
      </c>
      <c r="L693">
        <v>3</v>
      </c>
      <c r="M693">
        <v>7</v>
      </c>
    </row>
    <row r="694" spans="1:13" x14ac:dyDescent="0.3">
      <c r="A694">
        <v>693</v>
      </c>
      <c r="B694">
        <v>19</v>
      </c>
      <c r="C694" t="s">
        <v>13</v>
      </c>
      <c r="D694" t="s">
        <v>14</v>
      </c>
      <c r="E694" t="s">
        <v>23</v>
      </c>
      <c r="F694" t="s">
        <v>38</v>
      </c>
      <c r="G694" t="s">
        <v>31</v>
      </c>
      <c r="H694" t="s">
        <v>18</v>
      </c>
      <c r="I694" t="s">
        <v>49</v>
      </c>
      <c r="J694">
        <v>4</v>
      </c>
      <c r="K694" t="s">
        <v>28</v>
      </c>
      <c r="L694">
        <v>5</v>
      </c>
      <c r="M694">
        <v>9</v>
      </c>
    </row>
    <row r="695" spans="1:13" x14ac:dyDescent="0.3">
      <c r="A695">
        <v>694</v>
      </c>
      <c r="B695">
        <v>22</v>
      </c>
      <c r="C695" t="s">
        <v>21</v>
      </c>
      <c r="D695" t="s">
        <v>22</v>
      </c>
      <c r="E695" t="s">
        <v>81</v>
      </c>
      <c r="F695" t="s">
        <v>40</v>
      </c>
      <c r="G695" t="s">
        <v>41</v>
      </c>
      <c r="H695" t="s">
        <v>26</v>
      </c>
      <c r="I695" t="s">
        <v>83</v>
      </c>
      <c r="J695">
        <v>7</v>
      </c>
      <c r="K695" t="s">
        <v>20</v>
      </c>
      <c r="L695">
        <v>2</v>
      </c>
      <c r="M695">
        <v>5</v>
      </c>
    </row>
    <row r="696" spans="1:13" x14ac:dyDescent="0.3">
      <c r="A696">
        <v>695</v>
      </c>
      <c r="B696">
        <v>20</v>
      </c>
      <c r="C696" t="s">
        <v>13</v>
      </c>
      <c r="D696" t="s">
        <v>14</v>
      </c>
      <c r="E696" t="s">
        <v>109</v>
      </c>
      <c r="F696" t="s">
        <v>95</v>
      </c>
      <c r="G696" t="s">
        <v>17</v>
      </c>
      <c r="H696" t="s">
        <v>18</v>
      </c>
      <c r="I696" t="s">
        <v>92</v>
      </c>
      <c r="J696">
        <v>5</v>
      </c>
      <c r="K696" t="s">
        <v>28</v>
      </c>
      <c r="L696">
        <v>4</v>
      </c>
      <c r="M696">
        <v>8</v>
      </c>
    </row>
    <row r="697" spans="1:13" x14ac:dyDescent="0.3">
      <c r="A697">
        <v>696</v>
      </c>
      <c r="B697">
        <v>23</v>
      </c>
      <c r="C697" t="s">
        <v>21</v>
      </c>
      <c r="D697" t="s">
        <v>22</v>
      </c>
      <c r="E697" t="s">
        <v>29</v>
      </c>
      <c r="F697" t="s">
        <v>59</v>
      </c>
      <c r="G697" t="s">
        <v>25</v>
      </c>
      <c r="H697" t="s">
        <v>18</v>
      </c>
      <c r="I697" t="s">
        <v>75</v>
      </c>
      <c r="J697">
        <v>6</v>
      </c>
      <c r="K697" t="s">
        <v>20</v>
      </c>
      <c r="L697">
        <v>3</v>
      </c>
      <c r="M697">
        <v>7</v>
      </c>
    </row>
    <row r="698" spans="1:13" x14ac:dyDescent="0.3">
      <c r="A698">
        <v>697</v>
      </c>
      <c r="B698">
        <v>21</v>
      </c>
      <c r="C698" t="s">
        <v>13</v>
      </c>
      <c r="D698" t="s">
        <v>14</v>
      </c>
      <c r="E698" t="s">
        <v>62</v>
      </c>
      <c r="F698" t="s">
        <v>132</v>
      </c>
      <c r="G698" t="s">
        <v>31</v>
      </c>
      <c r="H698" t="s">
        <v>18</v>
      </c>
      <c r="I698" t="s">
        <v>57</v>
      </c>
      <c r="J698">
        <v>5</v>
      </c>
      <c r="K698" t="s">
        <v>28</v>
      </c>
      <c r="L698">
        <v>4</v>
      </c>
      <c r="M698">
        <v>8</v>
      </c>
    </row>
    <row r="699" spans="1:13" x14ac:dyDescent="0.3">
      <c r="A699">
        <v>698</v>
      </c>
      <c r="B699">
        <v>24</v>
      </c>
      <c r="C699" t="s">
        <v>21</v>
      </c>
      <c r="D699" t="s">
        <v>22</v>
      </c>
      <c r="E699" t="s">
        <v>55</v>
      </c>
      <c r="F699" t="s">
        <v>56</v>
      </c>
      <c r="G699" t="s">
        <v>41</v>
      </c>
      <c r="H699" t="s">
        <v>26</v>
      </c>
      <c r="I699" t="s">
        <v>127</v>
      </c>
      <c r="J699">
        <v>7</v>
      </c>
      <c r="K699" t="s">
        <v>20</v>
      </c>
      <c r="L699">
        <v>2</v>
      </c>
      <c r="M699">
        <v>5</v>
      </c>
    </row>
    <row r="700" spans="1:13" x14ac:dyDescent="0.3">
      <c r="A700">
        <v>699</v>
      </c>
      <c r="B700">
        <v>19</v>
      </c>
      <c r="C700" t="s">
        <v>13</v>
      </c>
      <c r="D700" t="s">
        <v>14</v>
      </c>
      <c r="E700" t="s">
        <v>39</v>
      </c>
      <c r="F700" t="s">
        <v>72</v>
      </c>
      <c r="G700" t="s">
        <v>17</v>
      </c>
      <c r="H700" t="s">
        <v>18</v>
      </c>
      <c r="I700" t="s">
        <v>95</v>
      </c>
      <c r="J700">
        <v>6</v>
      </c>
      <c r="K700" t="s">
        <v>28</v>
      </c>
      <c r="L700">
        <v>3</v>
      </c>
      <c r="M700">
        <v>7</v>
      </c>
    </row>
    <row r="701" spans="1:13" x14ac:dyDescent="0.3">
      <c r="A701">
        <v>700</v>
      </c>
      <c r="B701">
        <v>22</v>
      </c>
      <c r="C701" t="s">
        <v>21</v>
      </c>
      <c r="D701" t="s">
        <v>22</v>
      </c>
      <c r="E701" t="s">
        <v>35</v>
      </c>
      <c r="F701" t="s">
        <v>57</v>
      </c>
      <c r="G701" t="s">
        <v>25</v>
      </c>
      <c r="H701" t="s">
        <v>18</v>
      </c>
      <c r="I701" t="s">
        <v>132</v>
      </c>
      <c r="J701">
        <v>5</v>
      </c>
      <c r="K701" t="s">
        <v>28</v>
      </c>
      <c r="L701">
        <v>4</v>
      </c>
      <c r="M701">
        <v>8</v>
      </c>
    </row>
    <row r="702" spans="1:13" x14ac:dyDescent="0.3">
      <c r="A702">
        <v>701</v>
      </c>
      <c r="B702">
        <v>20</v>
      </c>
      <c r="C702" t="s">
        <v>13</v>
      </c>
      <c r="D702" t="s">
        <v>14</v>
      </c>
      <c r="E702" t="s">
        <v>60</v>
      </c>
      <c r="F702" t="s">
        <v>77</v>
      </c>
      <c r="G702" t="s">
        <v>31</v>
      </c>
      <c r="H702" t="s">
        <v>26</v>
      </c>
      <c r="I702" t="s">
        <v>43</v>
      </c>
      <c r="J702">
        <v>7</v>
      </c>
      <c r="K702" t="s">
        <v>20</v>
      </c>
      <c r="L702">
        <v>2</v>
      </c>
      <c r="M702">
        <v>5</v>
      </c>
    </row>
    <row r="703" spans="1:13" x14ac:dyDescent="0.3">
      <c r="A703">
        <v>702</v>
      </c>
      <c r="B703">
        <v>23</v>
      </c>
      <c r="C703" t="s">
        <v>21</v>
      </c>
      <c r="D703" t="s">
        <v>22</v>
      </c>
      <c r="E703" t="s">
        <v>63</v>
      </c>
      <c r="F703" t="s">
        <v>65</v>
      </c>
      <c r="G703" t="s">
        <v>17</v>
      </c>
      <c r="H703" t="s">
        <v>18</v>
      </c>
      <c r="I703" t="s">
        <v>78</v>
      </c>
      <c r="J703">
        <v>4</v>
      </c>
      <c r="K703" t="s">
        <v>28</v>
      </c>
      <c r="L703">
        <v>5</v>
      </c>
      <c r="M703">
        <v>9</v>
      </c>
    </row>
    <row r="704" spans="1:13" x14ac:dyDescent="0.3">
      <c r="A704">
        <v>703</v>
      </c>
      <c r="B704">
        <v>21</v>
      </c>
      <c r="C704" t="s">
        <v>13</v>
      </c>
      <c r="D704" t="s">
        <v>14</v>
      </c>
      <c r="E704" t="s">
        <v>66</v>
      </c>
      <c r="F704" t="s">
        <v>110</v>
      </c>
      <c r="G704" t="s">
        <v>222</v>
      </c>
      <c r="H704" t="s">
        <v>18</v>
      </c>
      <c r="I704" t="s">
        <v>75</v>
      </c>
      <c r="J704">
        <v>6</v>
      </c>
      <c r="K704" t="s">
        <v>20</v>
      </c>
      <c r="L704">
        <v>3</v>
      </c>
      <c r="M704">
        <v>7</v>
      </c>
    </row>
    <row r="705" spans="1:13" x14ac:dyDescent="0.3">
      <c r="A705">
        <v>704</v>
      </c>
      <c r="B705">
        <v>24</v>
      </c>
      <c r="C705" t="s">
        <v>21</v>
      </c>
      <c r="D705" t="s">
        <v>22</v>
      </c>
      <c r="E705" t="s">
        <v>51</v>
      </c>
      <c r="F705" t="s">
        <v>197</v>
      </c>
      <c r="G705" t="s">
        <v>25</v>
      </c>
      <c r="H705" t="s">
        <v>26</v>
      </c>
      <c r="I705" t="s">
        <v>27</v>
      </c>
      <c r="J705">
        <v>8</v>
      </c>
      <c r="K705" t="s">
        <v>28</v>
      </c>
      <c r="L705">
        <v>2</v>
      </c>
      <c r="M705">
        <v>4</v>
      </c>
    </row>
    <row r="706" spans="1:13" x14ac:dyDescent="0.3">
      <c r="A706">
        <v>705</v>
      </c>
      <c r="B706">
        <v>19</v>
      </c>
      <c r="C706" t="s">
        <v>13</v>
      </c>
      <c r="D706" t="s">
        <v>14</v>
      </c>
      <c r="E706" t="s">
        <v>145</v>
      </c>
      <c r="F706" t="s">
        <v>57</v>
      </c>
      <c r="G706" t="s">
        <v>41</v>
      </c>
      <c r="H706" t="s">
        <v>18</v>
      </c>
      <c r="I706" t="s">
        <v>132</v>
      </c>
      <c r="J706">
        <v>5</v>
      </c>
      <c r="K706" t="s">
        <v>28</v>
      </c>
      <c r="L706">
        <v>4</v>
      </c>
      <c r="M706">
        <v>8</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82C08B-E5E8-49ED-BE25-BB71A1DA48C8}">
  <dimension ref="A1:Q705"/>
  <sheetViews>
    <sheetView topLeftCell="B1" zoomScale="66" workbookViewId="0">
      <pane ySplit="1" topLeftCell="A574" activePane="bottomLeft" state="frozen"/>
      <selection pane="bottomLeft" activeCell="F577" sqref="F577"/>
    </sheetView>
  </sheetViews>
  <sheetFormatPr defaultRowHeight="14.4" x14ac:dyDescent="0.3"/>
  <cols>
    <col min="1" max="1" width="12.33203125" customWidth="1"/>
    <col min="2" max="2" width="8.6640625" customWidth="1"/>
    <col min="3" max="3" width="12.77734375" customWidth="1"/>
    <col min="4" max="4" width="9.33203125" bestFit="1" customWidth="1"/>
    <col min="5" max="5" width="16.88671875" bestFit="1" customWidth="1"/>
    <col min="6" max="6" width="13.6640625" customWidth="1"/>
    <col min="7" max="8" width="15.21875" customWidth="1"/>
    <col min="9" max="9" width="16.21875" customWidth="1"/>
    <col min="10" max="10" width="16.5546875" customWidth="1"/>
    <col min="11" max="11" width="14.88671875" customWidth="1"/>
    <col min="12" max="12" width="20.88671875" customWidth="1"/>
    <col min="13" max="14" width="12.5546875" customWidth="1"/>
    <col min="15" max="15" width="20" customWidth="1"/>
    <col min="16" max="16" width="10.5546875" customWidth="1"/>
    <col min="17" max="17" width="10" customWidth="1"/>
  </cols>
  <sheetData>
    <row r="1" spans="1:17" s="1" customFormat="1" ht="30" customHeight="1" x14ac:dyDescent="0.3">
      <c r="A1" s="1" t="s">
        <v>223</v>
      </c>
      <c r="B1" s="1" t="s">
        <v>1</v>
      </c>
      <c r="C1" s="1" t="s">
        <v>234</v>
      </c>
      <c r="D1" s="1" t="s">
        <v>2</v>
      </c>
      <c r="E1" s="1" t="s">
        <v>224</v>
      </c>
      <c r="F1" s="1" t="s">
        <v>4</v>
      </c>
      <c r="G1" s="1" t="s">
        <v>225</v>
      </c>
      <c r="H1" s="1" t="s">
        <v>235</v>
      </c>
      <c r="I1" s="1" t="s">
        <v>226</v>
      </c>
      <c r="J1" s="1" t="s">
        <v>227</v>
      </c>
      <c r="K1" s="1" t="s">
        <v>228</v>
      </c>
      <c r="L1" s="1" t="s">
        <v>236</v>
      </c>
      <c r="M1" s="1" t="s">
        <v>229</v>
      </c>
      <c r="N1" s="1" t="s">
        <v>233</v>
      </c>
      <c r="O1" s="1" t="s">
        <v>230</v>
      </c>
      <c r="P1" s="1" t="s">
        <v>231</v>
      </c>
      <c r="Q1" s="1" t="s">
        <v>232</v>
      </c>
    </row>
    <row r="2" spans="1:17" hidden="1" x14ac:dyDescent="0.3">
      <c r="A2">
        <v>1</v>
      </c>
      <c r="B2">
        <v>19</v>
      </c>
      <c r="C2" t="str">
        <f t="shared" ref="C2:C64" si="0">IF(B2&gt;=20,"Young Adult","Teenager")</f>
        <v>Teenager</v>
      </c>
      <c r="D2" t="s">
        <v>13</v>
      </c>
      <c r="E2" t="s">
        <v>14</v>
      </c>
      <c r="F2" t="s">
        <v>15</v>
      </c>
      <c r="G2">
        <v>5.2</v>
      </c>
      <c r="H2" t="str">
        <f t="shared" ref="H2:H64" si="1">IF(G2&gt;=6,"Heavy Use",IF(G2&gt;=4,"Moderate Use","Low Use"))</f>
        <v>Moderate Use</v>
      </c>
      <c r="I2" t="s">
        <v>17</v>
      </c>
      <c r="J2" t="s">
        <v>18</v>
      </c>
      <c r="K2">
        <v>6.5</v>
      </c>
      <c r="L2" t="str">
        <f t="shared" ref="L2:L64" si="2">IF(K2&gt;=9,"Excessive Sleep",IF(K2&gt;=7,"Sufficient Sleep","Severly Deficient Sleep"))</f>
        <v>Severly Deficient Sleep</v>
      </c>
      <c r="M2">
        <v>6</v>
      </c>
      <c r="N2" t="str">
        <f t="shared" ref="N2:N64" si="3">IF(M2&gt;=7,"Sever",IF(M2&lt;=4,"Mild","Moderate"))</f>
        <v>Moderate</v>
      </c>
      <c r="O2" t="s">
        <v>20</v>
      </c>
      <c r="P2">
        <v>8</v>
      </c>
      <c r="Q2" t="str">
        <f>IF(P2&gt;=7,"High",IF(P2&gt;=5,"Medium","Low"))</f>
        <v>High</v>
      </c>
    </row>
    <row r="3" spans="1:17" hidden="1" x14ac:dyDescent="0.3">
      <c r="A3">
        <v>3</v>
      </c>
      <c r="B3">
        <v>20</v>
      </c>
      <c r="C3" t="str">
        <f t="shared" si="0"/>
        <v>Young Adult</v>
      </c>
      <c r="D3" t="s">
        <v>13</v>
      </c>
      <c r="E3" t="s">
        <v>14</v>
      </c>
      <c r="F3" t="s">
        <v>29</v>
      </c>
      <c r="G3">
        <v>6</v>
      </c>
      <c r="H3" t="str">
        <f t="shared" si="1"/>
        <v>Heavy Use</v>
      </c>
      <c r="I3" t="s">
        <v>31</v>
      </c>
      <c r="J3" t="s">
        <v>18</v>
      </c>
      <c r="K3">
        <v>5</v>
      </c>
      <c r="L3" t="str">
        <f t="shared" si="2"/>
        <v>Severly Deficient Sleep</v>
      </c>
      <c r="M3">
        <v>5</v>
      </c>
      <c r="N3" t="str">
        <f t="shared" si="3"/>
        <v>Moderate</v>
      </c>
      <c r="O3" t="s">
        <v>33</v>
      </c>
      <c r="Q3">
        <v>9</v>
      </c>
    </row>
    <row r="4" spans="1:17" hidden="1" x14ac:dyDescent="0.3">
      <c r="A4">
        <v>4</v>
      </c>
      <c r="B4">
        <v>18</v>
      </c>
      <c r="C4" t="str">
        <f t="shared" si="0"/>
        <v>Teenager</v>
      </c>
      <c r="D4" t="s">
        <v>21</v>
      </c>
      <c r="E4" t="s">
        <v>34</v>
      </c>
      <c r="F4" t="s">
        <v>35</v>
      </c>
      <c r="G4">
        <v>3</v>
      </c>
      <c r="H4" t="str">
        <f t="shared" si="1"/>
        <v>Low Use</v>
      </c>
      <c r="I4" t="s">
        <v>37</v>
      </c>
      <c r="J4" t="s">
        <v>26</v>
      </c>
      <c r="K4">
        <v>7</v>
      </c>
      <c r="L4" t="str">
        <f t="shared" si="2"/>
        <v>Sufficient Sleep</v>
      </c>
      <c r="M4">
        <v>7</v>
      </c>
      <c r="N4" t="str">
        <f t="shared" si="3"/>
        <v>Sever</v>
      </c>
      <c r="O4" t="s">
        <v>28</v>
      </c>
      <c r="P4">
        <v>4</v>
      </c>
      <c r="Q4" t="str">
        <f t="shared" ref="Q4:Q5" si="4">IF(P4&gt;=7,"High",IF(P4&gt;=5,"Medium","Low"))</f>
        <v>Low</v>
      </c>
    </row>
    <row r="5" spans="1:17" x14ac:dyDescent="0.3">
      <c r="A5">
        <v>5</v>
      </c>
      <c r="B5">
        <v>21</v>
      </c>
      <c r="C5" t="str">
        <f t="shared" si="0"/>
        <v>Young Adult</v>
      </c>
      <c r="D5" t="s">
        <v>21</v>
      </c>
      <c r="E5" t="s">
        <v>22</v>
      </c>
      <c r="F5" t="s">
        <v>39</v>
      </c>
      <c r="G5">
        <v>4.5</v>
      </c>
      <c r="H5" t="str">
        <f t="shared" si="1"/>
        <v>Moderate Use</v>
      </c>
      <c r="I5" t="s">
        <v>41</v>
      </c>
      <c r="J5" t="s">
        <v>18</v>
      </c>
      <c r="K5">
        <v>6</v>
      </c>
      <c r="L5" t="str">
        <f t="shared" si="2"/>
        <v>Severly Deficient Sleep</v>
      </c>
      <c r="M5">
        <v>6</v>
      </c>
      <c r="N5" t="str">
        <f t="shared" si="3"/>
        <v>Moderate</v>
      </c>
      <c r="O5" t="s">
        <v>20</v>
      </c>
      <c r="P5">
        <v>7</v>
      </c>
      <c r="Q5" t="str">
        <f>IF(P5&gt;=7,"High",IF(P5&gt;=6,"Medium","Low"))</f>
        <v>High</v>
      </c>
    </row>
    <row r="6" spans="1:17" hidden="1" x14ac:dyDescent="0.3">
      <c r="A6">
        <v>6</v>
      </c>
      <c r="B6">
        <v>19</v>
      </c>
      <c r="C6" t="str">
        <f t="shared" si="0"/>
        <v>Teenager</v>
      </c>
      <c r="D6" t="s">
        <v>13</v>
      </c>
      <c r="E6" t="s">
        <v>14</v>
      </c>
      <c r="F6" t="s">
        <v>42</v>
      </c>
      <c r="G6">
        <v>7.2</v>
      </c>
      <c r="H6" t="str">
        <f t="shared" si="1"/>
        <v>Heavy Use</v>
      </c>
      <c r="I6" t="s">
        <v>17</v>
      </c>
      <c r="J6" t="s">
        <v>18</v>
      </c>
      <c r="K6">
        <v>4.5</v>
      </c>
      <c r="L6" t="str">
        <f t="shared" si="2"/>
        <v>Severly Deficient Sleep</v>
      </c>
      <c r="M6">
        <v>4</v>
      </c>
      <c r="N6" t="str">
        <f t="shared" si="3"/>
        <v>Mild</v>
      </c>
      <c r="O6" t="s">
        <v>33</v>
      </c>
      <c r="Q6">
        <v>9</v>
      </c>
    </row>
    <row r="7" spans="1:17" hidden="1" x14ac:dyDescent="0.3">
      <c r="A7">
        <v>7</v>
      </c>
      <c r="B7">
        <v>23</v>
      </c>
      <c r="C7" t="str">
        <f t="shared" si="0"/>
        <v>Young Adult</v>
      </c>
      <c r="D7" t="s">
        <v>21</v>
      </c>
      <c r="E7" t="s">
        <v>22</v>
      </c>
      <c r="F7" t="s">
        <v>44</v>
      </c>
      <c r="G7">
        <v>1.5</v>
      </c>
      <c r="H7" t="str">
        <f t="shared" si="1"/>
        <v>Low Use</v>
      </c>
      <c r="I7" t="s">
        <v>46</v>
      </c>
      <c r="J7" t="s">
        <v>26</v>
      </c>
      <c r="K7">
        <v>8</v>
      </c>
      <c r="L7" t="str">
        <f t="shared" si="2"/>
        <v>Sufficient Sleep</v>
      </c>
      <c r="M7">
        <v>9</v>
      </c>
      <c r="N7" t="str">
        <f t="shared" si="3"/>
        <v>Sever</v>
      </c>
      <c r="O7" t="s">
        <v>28</v>
      </c>
      <c r="Q7">
        <v>2</v>
      </c>
    </row>
    <row r="8" spans="1:17" hidden="1" x14ac:dyDescent="0.3">
      <c r="A8">
        <v>8</v>
      </c>
      <c r="B8">
        <v>20</v>
      </c>
      <c r="C8" t="str">
        <f t="shared" si="0"/>
        <v>Young Adult</v>
      </c>
      <c r="D8" t="s">
        <v>13</v>
      </c>
      <c r="E8" t="s">
        <v>14</v>
      </c>
      <c r="F8" t="s">
        <v>48</v>
      </c>
      <c r="G8">
        <v>5.8</v>
      </c>
      <c r="H8" t="str">
        <f t="shared" si="1"/>
        <v>Moderate Use</v>
      </c>
      <c r="I8" t="s">
        <v>50</v>
      </c>
      <c r="J8" t="s">
        <v>18</v>
      </c>
      <c r="K8">
        <v>6</v>
      </c>
      <c r="L8" t="str">
        <f t="shared" si="2"/>
        <v>Severly Deficient Sleep</v>
      </c>
      <c r="M8">
        <v>6</v>
      </c>
      <c r="N8" t="str">
        <f t="shared" si="3"/>
        <v>Moderate</v>
      </c>
      <c r="O8" t="s">
        <v>20</v>
      </c>
      <c r="Q8">
        <v>8</v>
      </c>
    </row>
    <row r="9" spans="1:17" hidden="1" x14ac:dyDescent="0.3">
      <c r="A9">
        <v>9</v>
      </c>
      <c r="B9">
        <v>18</v>
      </c>
      <c r="C9" t="str">
        <f t="shared" si="0"/>
        <v>Teenager</v>
      </c>
      <c r="D9" t="s">
        <v>21</v>
      </c>
      <c r="E9" t="s">
        <v>34</v>
      </c>
      <c r="F9" t="s">
        <v>51</v>
      </c>
      <c r="G9">
        <v>4</v>
      </c>
      <c r="H9" t="str">
        <f t="shared" si="1"/>
        <v>Moderate Use</v>
      </c>
      <c r="I9" t="s">
        <v>31</v>
      </c>
      <c r="J9" t="s">
        <v>26</v>
      </c>
      <c r="K9">
        <v>6.5</v>
      </c>
      <c r="L9" t="str">
        <f t="shared" si="2"/>
        <v>Severly Deficient Sleep</v>
      </c>
      <c r="M9">
        <v>7</v>
      </c>
      <c r="N9" t="str">
        <f t="shared" si="3"/>
        <v>Sever</v>
      </c>
      <c r="O9" t="s">
        <v>28</v>
      </c>
      <c r="P9">
        <v>5</v>
      </c>
      <c r="Q9" t="str">
        <f t="shared" ref="Q9:Q10" si="5">IF(P9&gt;=7,"High",IF(P9&gt;=5,"Medium","Low"))</f>
        <v>Medium</v>
      </c>
    </row>
    <row r="10" spans="1:17" hidden="1" x14ac:dyDescent="0.3">
      <c r="A10">
        <v>10</v>
      </c>
      <c r="B10">
        <v>21</v>
      </c>
      <c r="C10" t="str">
        <f t="shared" si="0"/>
        <v>Young Adult</v>
      </c>
      <c r="D10" t="s">
        <v>13</v>
      </c>
      <c r="E10" t="s">
        <v>22</v>
      </c>
      <c r="F10" t="s">
        <v>53</v>
      </c>
      <c r="G10">
        <v>3.3</v>
      </c>
      <c r="H10" t="str">
        <f t="shared" si="1"/>
        <v>Low Use</v>
      </c>
      <c r="I10" t="s">
        <v>17</v>
      </c>
      <c r="J10" t="s">
        <v>26</v>
      </c>
      <c r="K10">
        <v>7</v>
      </c>
      <c r="L10" t="str">
        <f t="shared" si="2"/>
        <v>Sufficient Sleep</v>
      </c>
      <c r="M10">
        <v>7</v>
      </c>
      <c r="N10" t="str">
        <f t="shared" si="3"/>
        <v>Sever</v>
      </c>
      <c r="O10" t="s">
        <v>20</v>
      </c>
      <c r="P10">
        <v>4</v>
      </c>
      <c r="Q10" t="str">
        <f t="shared" si="5"/>
        <v>Low</v>
      </c>
    </row>
    <row r="11" spans="1:17" hidden="1" x14ac:dyDescent="0.3">
      <c r="A11">
        <v>11</v>
      </c>
      <c r="B11">
        <v>19</v>
      </c>
      <c r="C11" t="str">
        <f t="shared" si="0"/>
        <v>Teenager</v>
      </c>
      <c r="D11" t="s">
        <v>21</v>
      </c>
      <c r="E11" t="s">
        <v>14</v>
      </c>
      <c r="F11" t="s">
        <v>55</v>
      </c>
      <c r="G11">
        <v>4.8</v>
      </c>
      <c r="H11" t="str">
        <f t="shared" si="1"/>
        <v>Moderate Use</v>
      </c>
      <c r="I11" t="s">
        <v>50</v>
      </c>
      <c r="J11" t="s">
        <v>18</v>
      </c>
      <c r="K11">
        <v>6.2</v>
      </c>
      <c r="L11" t="str">
        <f t="shared" si="2"/>
        <v>Severly Deficient Sleep</v>
      </c>
      <c r="M11">
        <v>5</v>
      </c>
      <c r="N11" t="str">
        <f t="shared" si="3"/>
        <v>Moderate</v>
      </c>
      <c r="O11" t="s">
        <v>33</v>
      </c>
      <c r="Q11">
        <v>7</v>
      </c>
    </row>
    <row r="12" spans="1:17" x14ac:dyDescent="0.3">
      <c r="A12">
        <v>12</v>
      </c>
      <c r="B12">
        <v>20</v>
      </c>
      <c r="C12" t="str">
        <f t="shared" si="0"/>
        <v>Young Adult</v>
      </c>
      <c r="D12" t="s">
        <v>13</v>
      </c>
      <c r="E12" t="s">
        <v>14</v>
      </c>
      <c r="F12" t="s">
        <v>58</v>
      </c>
      <c r="G12">
        <v>5.5</v>
      </c>
      <c r="H12" t="str">
        <f t="shared" si="1"/>
        <v>Moderate Use</v>
      </c>
      <c r="I12" t="s">
        <v>31</v>
      </c>
      <c r="J12" t="s">
        <v>18</v>
      </c>
      <c r="K12">
        <v>5.8</v>
      </c>
      <c r="L12" t="str">
        <f t="shared" si="2"/>
        <v>Severly Deficient Sleep</v>
      </c>
      <c r="M12">
        <v>6</v>
      </c>
      <c r="N12" t="str">
        <f t="shared" si="3"/>
        <v>Moderate</v>
      </c>
      <c r="O12" t="s">
        <v>20</v>
      </c>
      <c r="P12">
        <v>8</v>
      </c>
      <c r="Q12" t="str">
        <f>IF(P12&gt;=7,"High",IF(P12&gt;=6,"Medium","Low"))</f>
        <v>High</v>
      </c>
    </row>
    <row r="13" spans="1:17" hidden="1" x14ac:dyDescent="0.3">
      <c r="A13">
        <v>13</v>
      </c>
      <c r="B13">
        <v>22</v>
      </c>
      <c r="C13" t="str">
        <f t="shared" si="0"/>
        <v>Young Adult</v>
      </c>
      <c r="D13" t="s">
        <v>21</v>
      </c>
      <c r="E13" t="s">
        <v>22</v>
      </c>
      <c r="F13" t="s">
        <v>60</v>
      </c>
      <c r="G13">
        <v>2.8</v>
      </c>
      <c r="H13" t="str">
        <f t="shared" si="1"/>
        <v>Low Use</v>
      </c>
      <c r="I13" t="s">
        <v>46</v>
      </c>
      <c r="J13" t="s">
        <v>26</v>
      </c>
      <c r="K13">
        <v>7.2</v>
      </c>
      <c r="L13" t="str">
        <f t="shared" si="2"/>
        <v>Sufficient Sleep</v>
      </c>
      <c r="M13">
        <v>8</v>
      </c>
      <c r="N13" t="str">
        <f t="shared" si="3"/>
        <v>Sever</v>
      </c>
      <c r="O13" t="s">
        <v>28</v>
      </c>
      <c r="Q13">
        <v>4</v>
      </c>
    </row>
    <row r="14" spans="1:17" hidden="1" x14ac:dyDescent="0.3">
      <c r="A14">
        <v>14</v>
      </c>
      <c r="B14">
        <v>18</v>
      </c>
      <c r="C14" t="str">
        <f t="shared" si="0"/>
        <v>Teenager</v>
      </c>
      <c r="D14" t="s">
        <v>13</v>
      </c>
      <c r="E14" t="s">
        <v>34</v>
      </c>
      <c r="F14" t="s">
        <v>62</v>
      </c>
      <c r="G14">
        <v>6.5</v>
      </c>
      <c r="H14" t="str">
        <f t="shared" si="1"/>
        <v>Heavy Use</v>
      </c>
      <c r="I14" t="s">
        <v>17</v>
      </c>
      <c r="J14" t="s">
        <v>18</v>
      </c>
      <c r="K14">
        <v>5.5</v>
      </c>
      <c r="L14" t="str">
        <f t="shared" si="2"/>
        <v>Severly Deficient Sleep</v>
      </c>
      <c r="M14">
        <v>5</v>
      </c>
      <c r="N14" t="str">
        <f t="shared" si="3"/>
        <v>Moderate</v>
      </c>
      <c r="O14" t="s">
        <v>28</v>
      </c>
      <c r="P14">
        <v>9</v>
      </c>
      <c r="Q14" t="str">
        <f t="shared" ref="Q14:Q15" si="6">IF(P14&gt;=7,"High",IF(P14&gt;=5,"Medium","Low"))</f>
        <v>High</v>
      </c>
    </row>
    <row r="15" spans="1:17" hidden="1" x14ac:dyDescent="0.3">
      <c r="A15">
        <v>15</v>
      </c>
      <c r="B15">
        <v>21</v>
      </c>
      <c r="C15" t="str">
        <f t="shared" si="0"/>
        <v>Young Adult</v>
      </c>
      <c r="D15" t="s">
        <v>21</v>
      </c>
      <c r="E15" t="s">
        <v>14</v>
      </c>
      <c r="F15" t="s">
        <v>63</v>
      </c>
      <c r="G15">
        <v>3.7</v>
      </c>
      <c r="H15" t="str">
        <f t="shared" si="1"/>
        <v>Low Use</v>
      </c>
      <c r="I15" t="s">
        <v>37</v>
      </c>
      <c r="J15" t="s">
        <v>26</v>
      </c>
      <c r="K15">
        <v>6.8</v>
      </c>
      <c r="L15" t="str">
        <f t="shared" si="2"/>
        <v>Severly Deficient Sleep</v>
      </c>
      <c r="M15">
        <v>7</v>
      </c>
      <c r="N15" t="str">
        <f t="shared" si="3"/>
        <v>Sever</v>
      </c>
      <c r="O15" t="s">
        <v>20</v>
      </c>
      <c r="P15">
        <v>5</v>
      </c>
      <c r="Q15" t="str">
        <f t="shared" si="6"/>
        <v>Medium</v>
      </c>
    </row>
    <row r="16" spans="1:17" hidden="1" x14ac:dyDescent="0.3">
      <c r="A16">
        <v>16</v>
      </c>
      <c r="B16">
        <v>20</v>
      </c>
      <c r="C16" t="str">
        <f t="shared" si="0"/>
        <v>Young Adult</v>
      </c>
      <c r="D16" t="s">
        <v>13</v>
      </c>
      <c r="E16" t="s">
        <v>14</v>
      </c>
      <c r="F16" t="s">
        <v>66</v>
      </c>
      <c r="G16">
        <v>4.2</v>
      </c>
      <c r="H16" t="str">
        <f t="shared" si="1"/>
        <v>Moderate Use</v>
      </c>
      <c r="I16" t="s">
        <v>31</v>
      </c>
      <c r="J16" t="s">
        <v>18</v>
      </c>
      <c r="K16">
        <v>6</v>
      </c>
      <c r="L16" t="str">
        <f t="shared" si="2"/>
        <v>Severly Deficient Sleep</v>
      </c>
      <c r="M16">
        <v>6</v>
      </c>
      <c r="N16" t="str">
        <f t="shared" si="3"/>
        <v>Moderate</v>
      </c>
      <c r="O16" t="s">
        <v>33</v>
      </c>
      <c r="Q16">
        <v>7</v>
      </c>
    </row>
    <row r="17" spans="1:17" hidden="1" x14ac:dyDescent="0.3">
      <c r="A17">
        <v>17</v>
      </c>
      <c r="B17">
        <v>24</v>
      </c>
      <c r="C17" t="str">
        <f t="shared" si="0"/>
        <v>Young Adult</v>
      </c>
      <c r="D17" t="s">
        <v>21</v>
      </c>
      <c r="E17" t="s">
        <v>22</v>
      </c>
      <c r="F17" t="s">
        <v>68</v>
      </c>
      <c r="G17">
        <v>2</v>
      </c>
      <c r="H17" t="str">
        <f t="shared" si="1"/>
        <v>Low Use</v>
      </c>
      <c r="I17" t="s">
        <v>46</v>
      </c>
      <c r="J17" t="s">
        <v>26</v>
      </c>
      <c r="K17">
        <v>7.8</v>
      </c>
      <c r="L17" t="str">
        <f t="shared" si="2"/>
        <v>Sufficient Sleep</v>
      </c>
      <c r="M17">
        <v>8</v>
      </c>
      <c r="N17" t="str">
        <f t="shared" si="3"/>
        <v>Sever</v>
      </c>
      <c r="O17" t="s">
        <v>28</v>
      </c>
      <c r="Q17">
        <v>3</v>
      </c>
    </row>
    <row r="18" spans="1:17" hidden="1" x14ac:dyDescent="0.3">
      <c r="A18">
        <v>18</v>
      </c>
      <c r="B18">
        <v>19</v>
      </c>
      <c r="C18" t="str">
        <f t="shared" si="0"/>
        <v>Teenager</v>
      </c>
      <c r="D18" t="s">
        <v>13</v>
      </c>
      <c r="E18" t="s">
        <v>34</v>
      </c>
      <c r="F18" t="s">
        <v>71</v>
      </c>
      <c r="G18">
        <v>5</v>
      </c>
      <c r="H18" t="str">
        <f t="shared" si="1"/>
        <v>Moderate Use</v>
      </c>
      <c r="I18" t="s">
        <v>17</v>
      </c>
      <c r="J18" t="s">
        <v>18</v>
      </c>
      <c r="K18">
        <v>5.7</v>
      </c>
      <c r="L18" t="str">
        <f t="shared" si="2"/>
        <v>Severly Deficient Sleep</v>
      </c>
      <c r="M18">
        <v>5</v>
      </c>
      <c r="N18" t="str">
        <f t="shared" si="3"/>
        <v>Moderate</v>
      </c>
      <c r="O18" t="s">
        <v>20</v>
      </c>
      <c r="P18">
        <v>8</v>
      </c>
      <c r="Q18" t="str">
        <f t="shared" ref="Q18:Q19" si="7">IF(P18&gt;=7,"High",IF(P18&gt;=5,"Medium","Low"))</f>
        <v>High</v>
      </c>
    </row>
    <row r="19" spans="1:17" hidden="1" x14ac:dyDescent="0.3">
      <c r="A19">
        <v>19</v>
      </c>
      <c r="B19">
        <v>21</v>
      </c>
      <c r="C19" t="str">
        <f t="shared" si="0"/>
        <v>Young Adult</v>
      </c>
      <c r="D19" t="s">
        <v>21</v>
      </c>
      <c r="E19" t="s">
        <v>14</v>
      </c>
      <c r="F19" t="s">
        <v>73</v>
      </c>
      <c r="G19">
        <v>3.5</v>
      </c>
      <c r="H19" t="str">
        <f t="shared" si="1"/>
        <v>Low Use</v>
      </c>
      <c r="I19" t="s">
        <v>41</v>
      </c>
      <c r="J19" t="s">
        <v>26</v>
      </c>
      <c r="K19">
        <v>6.7</v>
      </c>
      <c r="L19" t="str">
        <f t="shared" si="2"/>
        <v>Severly Deficient Sleep</v>
      </c>
      <c r="M19">
        <v>7</v>
      </c>
      <c r="N19" t="str">
        <f t="shared" si="3"/>
        <v>Sever</v>
      </c>
      <c r="O19" t="s">
        <v>28</v>
      </c>
      <c r="P19">
        <v>5</v>
      </c>
      <c r="Q19" t="str">
        <f t="shared" si="7"/>
        <v>Medium</v>
      </c>
    </row>
    <row r="20" spans="1:17" hidden="1" x14ac:dyDescent="0.3">
      <c r="A20">
        <v>20</v>
      </c>
      <c r="B20">
        <v>20</v>
      </c>
      <c r="C20" t="str">
        <f t="shared" si="0"/>
        <v>Young Adult</v>
      </c>
      <c r="D20" t="s">
        <v>13</v>
      </c>
      <c r="E20" t="s">
        <v>14</v>
      </c>
      <c r="F20" t="s">
        <v>76</v>
      </c>
      <c r="G20">
        <v>4.7</v>
      </c>
      <c r="H20" t="str">
        <f t="shared" si="1"/>
        <v>Moderate Use</v>
      </c>
      <c r="I20" t="s">
        <v>50</v>
      </c>
      <c r="J20" t="s">
        <v>18</v>
      </c>
      <c r="K20">
        <v>5.9</v>
      </c>
      <c r="L20" t="str">
        <f t="shared" si="2"/>
        <v>Severly Deficient Sleep</v>
      </c>
      <c r="M20">
        <v>6</v>
      </c>
      <c r="N20" t="str">
        <f t="shared" si="3"/>
        <v>Moderate</v>
      </c>
      <c r="O20" t="s">
        <v>33</v>
      </c>
      <c r="Q20">
        <v>7</v>
      </c>
    </row>
    <row r="21" spans="1:17" hidden="1" x14ac:dyDescent="0.3">
      <c r="A21">
        <v>21</v>
      </c>
      <c r="B21">
        <v>18</v>
      </c>
      <c r="C21" t="str">
        <f t="shared" si="0"/>
        <v>Teenager</v>
      </c>
      <c r="D21" t="s">
        <v>21</v>
      </c>
      <c r="E21" t="s">
        <v>34</v>
      </c>
      <c r="F21" t="s">
        <v>79</v>
      </c>
      <c r="G21">
        <v>5.3</v>
      </c>
      <c r="H21" t="str">
        <f t="shared" si="1"/>
        <v>Moderate Use</v>
      </c>
      <c r="I21" t="s">
        <v>31</v>
      </c>
      <c r="J21" t="s">
        <v>18</v>
      </c>
      <c r="K21">
        <v>5.5</v>
      </c>
      <c r="L21" t="str">
        <f t="shared" si="2"/>
        <v>Severly Deficient Sleep</v>
      </c>
      <c r="M21">
        <v>5</v>
      </c>
      <c r="N21" t="str">
        <f t="shared" si="3"/>
        <v>Moderate</v>
      </c>
      <c r="O21" t="s">
        <v>28</v>
      </c>
      <c r="P21">
        <v>8</v>
      </c>
      <c r="Q21" t="str">
        <f>IF(P21&gt;=7,"High",IF(P21&gt;=5,"Medium","Low"))</f>
        <v>High</v>
      </c>
    </row>
    <row r="22" spans="1:17" hidden="1" x14ac:dyDescent="0.3">
      <c r="A22">
        <v>22</v>
      </c>
      <c r="B22">
        <v>23</v>
      </c>
      <c r="C22" t="str">
        <f t="shared" si="0"/>
        <v>Young Adult</v>
      </c>
      <c r="D22" t="s">
        <v>13</v>
      </c>
      <c r="E22" t="s">
        <v>22</v>
      </c>
      <c r="F22" t="s">
        <v>81</v>
      </c>
      <c r="G22">
        <v>2.5</v>
      </c>
      <c r="H22" t="str">
        <f t="shared" si="1"/>
        <v>Low Use</v>
      </c>
      <c r="I22" t="s">
        <v>46</v>
      </c>
      <c r="J22" t="s">
        <v>26</v>
      </c>
      <c r="K22">
        <v>7.3</v>
      </c>
      <c r="L22" t="str">
        <f t="shared" si="2"/>
        <v>Sufficient Sleep</v>
      </c>
      <c r="M22">
        <v>8</v>
      </c>
      <c r="N22" t="str">
        <f t="shared" si="3"/>
        <v>Sever</v>
      </c>
      <c r="O22" t="s">
        <v>20</v>
      </c>
      <c r="Q22">
        <v>4</v>
      </c>
    </row>
    <row r="23" spans="1:17" hidden="1" x14ac:dyDescent="0.3">
      <c r="A23">
        <v>23</v>
      </c>
      <c r="B23">
        <v>19</v>
      </c>
      <c r="C23" t="str">
        <f t="shared" si="0"/>
        <v>Teenager</v>
      </c>
      <c r="D23" t="s">
        <v>21</v>
      </c>
      <c r="E23" t="s">
        <v>14</v>
      </c>
      <c r="F23" t="s">
        <v>84</v>
      </c>
      <c r="G23">
        <v>4.9000000000000004</v>
      </c>
      <c r="H23" t="str">
        <f t="shared" si="1"/>
        <v>Moderate Use</v>
      </c>
      <c r="I23" t="s">
        <v>17</v>
      </c>
      <c r="J23" t="s">
        <v>18</v>
      </c>
      <c r="K23">
        <v>5.8</v>
      </c>
      <c r="L23" t="str">
        <f t="shared" si="2"/>
        <v>Severly Deficient Sleep</v>
      </c>
      <c r="M23">
        <v>6</v>
      </c>
      <c r="N23" t="str">
        <f t="shared" si="3"/>
        <v>Moderate</v>
      </c>
      <c r="O23" t="s">
        <v>33</v>
      </c>
      <c r="Q23">
        <v>7</v>
      </c>
    </row>
    <row r="24" spans="1:17" hidden="1" x14ac:dyDescent="0.3">
      <c r="A24">
        <v>24</v>
      </c>
      <c r="B24">
        <v>20</v>
      </c>
      <c r="C24" t="str">
        <f t="shared" si="0"/>
        <v>Young Adult</v>
      </c>
      <c r="D24" t="s">
        <v>13</v>
      </c>
      <c r="E24" t="s">
        <v>14</v>
      </c>
      <c r="F24" t="s">
        <v>86</v>
      </c>
      <c r="G24">
        <v>5.7</v>
      </c>
      <c r="H24" t="str">
        <f t="shared" si="1"/>
        <v>Moderate Use</v>
      </c>
      <c r="I24" t="s">
        <v>31</v>
      </c>
      <c r="J24" t="s">
        <v>18</v>
      </c>
      <c r="K24">
        <v>5.4</v>
      </c>
      <c r="L24" t="str">
        <f t="shared" si="2"/>
        <v>Severly Deficient Sleep</v>
      </c>
      <c r="M24">
        <v>5</v>
      </c>
      <c r="N24" t="str">
        <f t="shared" si="3"/>
        <v>Moderate</v>
      </c>
      <c r="O24" t="s">
        <v>28</v>
      </c>
      <c r="P24">
        <v>8</v>
      </c>
      <c r="Q24" t="str">
        <f t="shared" ref="Q24:Q25" si="8">IF(P24&gt;=7,"High",IF(P24&gt;=5,"Medium","Low"))</f>
        <v>High</v>
      </c>
    </row>
    <row r="25" spans="1:17" hidden="1" x14ac:dyDescent="0.3">
      <c r="A25">
        <v>25</v>
      </c>
      <c r="B25">
        <v>22</v>
      </c>
      <c r="C25" t="str">
        <f t="shared" si="0"/>
        <v>Young Adult</v>
      </c>
      <c r="D25" t="s">
        <v>21</v>
      </c>
      <c r="E25" t="s">
        <v>22</v>
      </c>
      <c r="F25" t="s">
        <v>88</v>
      </c>
      <c r="G25">
        <v>3.2</v>
      </c>
      <c r="H25" t="str">
        <f t="shared" si="1"/>
        <v>Low Use</v>
      </c>
      <c r="I25" t="s">
        <v>41</v>
      </c>
      <c r="J25" t="s">
        <v>26</v>
      </c>
      <c r="K25">
        <v>6.9</v>
      </c>
      <c r="L25" t="str">
        <f t="shared" si="2"/>
        <v>Severly Deficient Sleep</v>
      </c>
      <c r="M25">
        <v>7</v>
      </c>
      <c r="N25" t="str">
        <f t="shared" si="3"/>
        <v>Sever</v>
      </c>
      <c r="O25" t="s">
        <v>20</v>
      </c>
      <c r="P25">
        <v>5</v>
      </c>
      <c r="Q25" t="str">
        <f t="shared" si="8"/>
        <v>Medium</v>
      </c>
    </row>
    <row r="26" spans="1:17" hidden="1" x14ac:dyDescent="0.3">
      <c r="A26">
        <v>26</v>
      </c>
      <c r="B26">
        <v>19</v>
      </c>
      <c r="C26" t="str">
        <f t="shared" si="0"/>
        <v>Teenager</v>
      </c>
      <c r="D26" t="s">
        <v>13</v>
      </c>
      <c r="E26" t="s">
        <v>34</v>
      </c>
      <c r="F26" t="s">
        <v>91</v>
      </c>
      <c r="G26">
        <v>6.1</v>
      </c>
      <c r="H26" t="str">
        <f t="shared" si="1"/>
        <v>Heavy Use</v>
      </c>
      <c r="I26" t="s">
        <v>17</v>
      </c>
      <c r="J26" t="s">
        <v>18</v>
      </c>
      <c r="K26">
        <v>5.2</v>
      </c>
      <c r="L26" t="str">
        <f t="shared" si="2"/>
        <v>Severly Deficient Sleep</v>
      </c>
      <c r="M26">
        <v>5</v>
      </c>
      <c r="N26" t="str">
        <f t="shared" si="3"/>
        <v>Moderate</v>
      </c>
      <c r="O26" t="s">
        <v>33</v>
      </c>
      <c r="Q26">
        <v>9</v>
      </c>
    </row>
    <row r="27" spans="1:17" hidden="1" x14ac:dyDescent="0.3">
      <c r="A27">
        <v>27</v>
      </c>
      <c r="B27">
        <v>21</v>
      </c>
      <c r="C27" t="str">
        <f t="shared" si="0"/>
        <v>Young Adult</v>
      </c>
      <c r="D27" t="s">
        <v>21</v>
      </c>
      <c r="E27" t="s">
        <v>14</v>
      </c>
      <c r="F27" t="s">
        <v>93</v>
      </c>
      <c r="G27">
        <v>3.8</v>
      </c>
      <c r="H27" t="str">
        <f t="shared" si="1"/>
        <v>Low Use</v>
      </c>
      <c r="I27" t="s">
        <v>37</v>
      </c>
      <c r="J27" t="s">
        <v>26</v>
      </c>
      <c r="K27">
        <v>6.6</v>
      </c>
      <c r="L27" t="str">
        <f t="shared" si="2"/>
        <v>Severly Deficient Sleep</v>
      </c>
      <c r="M27">
        <v>7</v>
      </c>
      <c r="N27" t="str">
        <f t="shared" si="3"/>
        <v>Sever</v>
      </c>
      <c r="O27" t="s">
        <v>28</v>
      </c>
      <c r="P27">
        <v>5</v>
      </c>
      <c r="Q27" t="str">
        <f t="shared" ref="Q27:Q28" si="9">IF(P27&gt;=7,"High",IF(P27&gt;=5,"Medium","Low"))</f>
        <v>Medium</v>
      </c>
    </row>
    <row r="28" spans="1:17" hidden="1" x14ac:dyDescent="0.3">
      <c r="A28">
        <v>28</v>
      </c>
      <c r="B28">
        <v>20</v>
      </c>
      <c r="C28" t="str">
        <f t="shared" si="0"/>
        <v>Young Adult</v>
      </c>
      <c r="D28" t="s">
        <v>13</v>
      </c>
      <c r="E28" t="s">
        <v>14</v>
      </c>
      <c r="F28" t="s">
        <v>96</v>
      </c>
      <c r="G28">
        <v>4.4000000000000004</v>
      </c>
      <c r="H28" t="str">
        <f t="shared" si="1"/>
        <v>Moderate Use</v>
      </c>
      <c r="I28" t="s">
        <v>31</v>
      </c>
      <c r="J28" t="s">
        <v>18</v>
      </c>
      <c r="K28">
        <v>5.9</v>
      </c>
      <c r="L28" t="str">
        <f t="shared" si="2"/>
        <v>Severly Deficient Sleep</v>
      </c>
      <c r="M28">
        <v>6</v>
      </c>
      <c r="N28" t="str">
        <f t="shared" si="3"/>
        <v>Moderate</v>
      </c>
      <c r="O28" t="s">
        <v>20</v>
      </c>
      <c r="P28">
        <v>7</v>
      </c>
      <c r="Q28" t="str">
        <f t="shared" si="9"/>
        <v>High</v>
      </c>
    </row>
    <row r="29" spans="1:17" hidden="1" x14ac:dyDescent="0.3">
      <c r="A29">
        <v>29</v>
      </c>
      <c r="B29">
        <v>24</v>
      </c>
      <c r="C29" t="str">
        <f t="shared" si="0"/>
        <v>Young Adult</v>
      </c>
      <c r="D29" t="s">
        <v>21</v>
      </c>
      <c r="E29" t="s">
        <v>22</v>
      </c>
      <c r="F29" t="s">
        <v>98</v>
      </c>
      <c r="G29">
        <v>2.2000000000000002</v>
      </c>
      <c r="H29" t="str">
        <f t="shared" si="1"/>
        <v>Low Use</v>
      </c>
      <c r="I29" t="s">
        <v>46</v>
      </c>
      <c r="J29" t="s">
        <v>26</v>
      </c>
      <c r="K29">
        <v>7.4</v>
      </c>
      <c r="L29" t="str">
        <f t="shared" si="2"/>
        <v>Sufficient Sleep</v>
      </c>
      <c r="M29">
        <v>8</v>
      </c>
      <c r="N29" t="str">
        <f t="shared" si="3"/>
        <v>Sever</v>
      </c>
      <c r="O29" t="s">
        <v>28</v>
      </c>
      <c r="Q29">
        <v>3</v>
      </c>
    </row>
    <row r="30" spans="1:17" hidden="1" x14ac:dyDescent="0.3">
      <c r="A30">
        <v>30</v>
      </c>
      <c r="B30">
        <v>19</v>
      </c>
      <c r="C30" t="str">
        <f t="shared" si="0"/>
        <v>Teenager</v>
      </c>
      <c r="D30" t="s">
        <v>13</v>
      </c>
      <c r="E30" t="s">
        <v>34</v>
      </c>
      <c r="F30" t="s">
        <v>101</v>
      </c>
      <c r="G30">
        <v>5.9</v>
      </c>
      <c r="H30" t="str">
        <f t="shared" si="1"/>
        <v>Moderate Use</v>
      </c>
      <c r="I30" t="s">
        <v>17</v>
      </c>
      <c r="J30" t="s">
        <v>18</v>
      </c>
      <c r="K30">
        <v>5.3</v>
      </c>
      <c r="L30" t="str">
        <f t="shared" si="2"/>
        <v>Severly Deficient Sleep</v>
      </c>
      <c r="M30">
        <v>5</v>
      </c>
      <c r="N30" t="str">
        <f t="shared" si="3"/>
        <v>Moderate</v>
      </c>
      <c r="O30" t="s">
        <v>33</v>
      </c>
      <c r="Q30">
        <v>8</v>
      </c>
    </row>
    <row r="31" spans="1:17" hidden="1" x14ac:dyDescent="0.3">
      <c r="A31">
        <v>31</v>
      </c>
      <c r="B31">
        <v>21</v>
      </c>
      <c r="C31" t="str">
        <f t="shared" si="0"/>
        <v>Young Adult</v>
      </c>
      <c r="D31" t="s">
        <v>21</v>
      </c>
      <c r="E31" t="s">
        <v>14</v>
      </c>
      <c r="F31" t="s">
        <v>102</v>
      </c>
      <c r="G31">
        <v>3.6</v>
      </c>
      <c r="H31" t="str">
        <f t="shared" si="1"/>
        <v>Low Use</v>
      </c>
      <c r="I31" t="s">
        <v>41</v>
      </c>
      <c r="J31" t="s">
        <v>26</v>
      </c>
      <c r="K31">
        <v>6.7</v>
      </c>
      <c r="L31" t="str">
        <f t="shared" si="2"/>
        <v>Severly Deficient Sleep</v>
      </c>
      <c r="M31">
        <v>7</v>
      </c>
      <c r="N31" t="str">
        <f t="shared" si="3"/>
        <v>Sever</v>
      </c>
      <c r="O31" t="s">
        <v>28</v>
      </c>
      <c r="P31">
        <v>5</v>
      </c>
      <c r="Q31" t="str">
        <f>IF(P31&gt;=7,"High",IF(P31&gt;=5,"Medium","Low"))</f>
        <v>Medium</v>
      </c>
    </row>
    <row r="32" spans="1:17" hidden="1" x14ac:dyDescent="0.3">
      <c r="A32">
        <v>32</v>
      </c>
      <c r="B32">
        <v>20</v>
      </c>
      <c r="C32" t="str">
        <f t="shared" si="0"/>
        <v>Young Adult</v>
      </c>
      <c r="D32" t="s">
        <v>13</v>
      </c>
      <c r="E32" t="s">
        <v>14</v>
      </c>
      <c r="F32" t="s">
        <v>104</v>
      </c>
      <c r="G32">
        <v>4.8</v>
      </c>
      <c r="H32" t="str">
        <f t="shared" si="1"/>
        <v>Moderate Use</v>
      </c>
      <c r="I32" t="s">
        <v>50</v>
      </c>
      <c r="J32" t="s">
        <v>18</v>
      </c>
      <c r="K32">
        <v>5.7</v>
      </c>
      <c r="L32" t="str">
        <f t="shared" si="2"/>
        <v>Severly Deficient Sleep</v>
      </c>
      <c r="M32">
        <v>6</v>
      </c>
      <c r="N32" t="str">
        <f t="shared" si="3"/>
        <v>Moderate</v>
      </c>
      <c r="O32" t="s">
        <v>20</v>
      </c>
      <c r="Q32">
        <v>7</v>
      </c>
    </row>
    <row r="33" spans="1:17" hidden="1" x14ac:dyDescent="0.3">
      <c r="A33">
        <v>33</v>
      </c>
      <c r="B33">
        <v>18</v>
      </c>
      <c r="C33" t="str">
        <f t="shared" si="0"/>
        <v>Teenager</v>
      </c>
      <c r="D33" t="s">
        <v>21</v>
      </c>
      <c r="E33" t="s">
        <v>34</v>
      </c>
      <c r="F33" t="s">
        <v>105</v>
      </c>
      <c r="G33">
        <v>5.4</v>
      </c>
      <c r="H33" t="str">
        <f t="shared" si="1"/>
        <v>Moderate Use</v>
      </c>
      <c r="I33" t="s">
        <v>31</v>
      </c>
      <c r="J33" t="s">
        <v>18</v>
      </c>
      <c r="K33">
        <v>5.4</v>
      </c>
      <c r="L33" t="str">
        <f t="shared" si="2"/>
        <v>Severly Deficient Sleep</v>
      </c>
      <c r="M33">
        <v>5</v>
      </c>
      <c r="N33" t="str">
        <f t="shared" si="3"/>
        <v>Moderate</v>
      </c>
      <c r="O33" t="s">
        <v>33</v>
      </c>
      <c r="Q33">
        <v>8</v>
      </c>
    </row>
    <row r="34" spans="1:17" hidden="1" x14ac:dyDescent="0.3">
      <c r="A34">
        <v>34</v>
      </c>
      <c r="B34">
        <v>23</v>
      </c>
      <c r="C34" t="str">
        <f t="shared" si="0"/>
        <v>Young Adult</v>
      </c>
      <c r="D34" t="s">
        <v>13</v>
      </c>
      <c r="E34" t="s">
        <v>22</v>
      </c>
      <c r="F34" t="s">
        <v>106</v>
      </c>
      <c r="G34">
        <v>2.6</v>
      </c>
      <c r="H34" t="str">
        <f t="shared" si="1"/>
        <v>Low Use</v>
      </c>
      <c r="I34" t="s">
        <v>46</v>
      </c>
      <c r="J34" t="s">
        <v>26</v>
      </c>
      <c r="K34">
        <v>7.2</v>
      </c>
      <c r="L34" t="str">
        <f t="shared" si="2"/>
        <v>Sufficient Sleep</v>
      </c>
      <c r="M34">
        <v>8</v>
      </c>
      <c r="N34" t="str">
        <f t="shared" si="3"/>
        <v>Sever</v>
      </c>
      <c r="O34" t="s">
        <v>28</v>
      </c>
      <c r="Q34">
        <v>4</v>
      </c>
    </row>
    <row r="35" spans="1:17" hidden="1" x14ac:dyDescent="0.3">
      <c r="A35">
        <v>35</v>
      </c>
      <c r="B35">
        <v>19</v>
      </c>
      <c r="C35" t="str">
        <f t="shared" si="0"/>
        <v>Teenager</v>
      </c>
      <c r="D35" t="s">
        <v>21</v>
      </c>
      <c r="E35" t="s">
        <v>14</v>
      </c>
      <c r="F35" t="s">
        <v>108</v>
      </c>
      <c r="G35">
        <v>4.7</v>
      </c>
      <c r="H35" t="str">
        <f t="shared" si="1"/>
        <v>Moderate Use</v>
      </c>
      <c r="I35" t="s">
        <v>17</v>
      </c>
      <c r="J35" t="s">
        <v>18</v>
      </c>
      <c r="K35">
        <v>5.8</v>
      </c>
      <c r="L35" t="str">
        <f t="shared" si="2"/>
        <v>Severly Deficient Sleep</v>
      </c>
      <c r="M35">
        <v>6</v>
      </c>
      <c r="N35" t="str">
        <f t="shared" si="3"/>
        <v>Moderate</v>
      </c>
      <c r="O35" t="s">
        <v>20</v>
      </c>
      <c r="P35">
        <v>7</v>
      </c>
      <c r="Q35" t="str">
        <f>IF(P35&gt;=7,"High",IF(P35&gt;=5,"Medium","Low"))</f>
        <v>High</v>
      </c>
    </row>
    <row r="36" spans="1:17" hidden="1" x14ac:dyDescent="0.3">
      <c r="A36">
        <v>36</v>
      </c>
      <c r="B36">
        <v>20</v>
      </c>
      <c r="C36" t="str">
        <f t="shared" si="0"/>
        <v>Young Adult</v>
      </c>
      <c r="D36" t="s">
        <v>13</v>
      </c>
      <c r="E36" t="s">
        <v>14</v>
      </c>
      <c r="F36" t="s">
        <v>109</v>
      </c>
      <c r="G36">
        <v>5.6</v>
      </c>
      <c r="H36" t="str">
        <f t="shared" si="1"/>
        <v>Moderate Use</v>
      </c>
      <c r="I36" t="s">
        <v>31</v>
      </c>
      <c r="J36" t="s">
        <v>18</v>
      </c>
      <c r="K36">
        <v>5.5</v>
      </c>
      <c r="L36" t="str">
        <f t="shared" si="2"/>
        <v>Severly Deficient Sleep</v>
      </c>
      <c r="M36">
        <v>5</v>
      </c>
      <c r="N36" t="str">
        <f t="shared" si="3"/>
        <v>Moderate</v>
      </c>
      <c r="O36" t="s">
        <v>33</v>
      </c>
      <c r="Q36">
        <v>8</v>
      </c>
    </row>
    <row r="37" spans="1:17" hidden="1" x14ac:dyDescent="0.3">
      <c r="A37">
        <v>37</v>
      </c>
      <c r="B37">
        <v>22</v>
      </c>
      <c r="C37" t="str">
        <f t="shared" si="0"/>
        <v>Young Adult</v>
      </c>
      <c r="D37" t="s">
        <v>21</v>
      </c>
      <c r="E37" t="s">
        <v>22</v>
      </c>
      <c r="F37" t="s">
        <v>111</v>
      </c>
      <c r="G37">
        <v>3.1</v>
      </c>
      <c r="H37" t="str">
        <f t="shared" si="1"/>
        <v>Low Use</v>
      </c>
      <c r="I37" t="s">
        <v>41</v>
      </c>
      <c r="J37" t="s">
        <v>26</v>
      </c>
      <c r="K37">
        <v>6.8</v>
      </c>
      <c r="L37" t="str">
        <f t="shared" si="2"/>
        <v>Severly Deficient Sleep</v>
      </c>
      <c r="M37">
        <v>7</v>
      </c>
      <c r="N37" t="str">
        <f t="shared" si="3"/>
        <v>Sever</v>
      </c>
      <c r="O37" t="s">
        <v>28</v>
      </c>
      <c r="P37">
        <v>5</v>
      </c>
      <c r="Q37" t="str">
        <f t="shared" ref="Q37:Q38" si="10">IF(P37&gt;=7,"High",IF(P37&gt;=5,"Medium","Low"))</f>
        <v>Medium</v>
      </c>
    </row>
    <row r="38" spans="1:17" hidden="1" x14ac:dyDescent="0.3">
      <c r="A38">
        <v>38</v>
      </c>
      <c r="B38">
        <v>19</v>
      </c>
      <c r="C38" t="str">
        <f t="shared" si="0"/>
        <v>Teenager</v>
      </c>
      <c r="D38" t="s">
        <v>13</v>
      </c>
      <c r="E38" t="s">
        <v>34</v>
      </c>
      <c r="F38" t="s">
        <v>113</v>
      </c>
      <c r="G38">
        <v>6.2</v>
      </c>
      <c r="H38" t="str">
        <f t="shared" si="1"/>
        <v>Heavy Use</v>
      </c>
      <c r="I38" t="s">
        <v>17</v>
      </c>
      <c r="J38" t="s">
        <v>18</v>
      </c>
      <c r="K38">
        <v>5.0999999999999996</v>
      </c>
      <c r="L38" t="str">
        <f t="shared" si="2"/>
        <v>Severly Deficient Sleep</v>
      </c>
      <c r="M38">
        <v>5</v>
      </c>
      <c r="N38" t="str">
        <f t="shared" si="3"/>
        <v>Moderate</v>
      </c>
      <c r="O38" t="s">
        <v>20</v>
      </c>
      <c r="P38">
        <v>9</v>
      </c>
      <c r="Q38" t="str">
        <f t="shared" si="10"/>
        <v>High</v>
      </c>
    </row>
    <row r="39" spans="1:17" hidden="1" x14ac:dyDescent="0.3">
      <c r="A39">
        <v>39</v>
      </c>
      <c r="B39">
        <v>21</v>
      </c>
      <c r="C39" t="str">
        <f t="shared" si="0"/>
        <v>Young Adult</v>
      </c>
      <c r="D39" t="s">
        <v>21</v>
      </c>
      <c r="E39" t="s">
        <v>14</v>
      </c>
      <c r="F39" t="s">
        <v>115</v>
      </c>
      <c r="G39">
        <v>3.9</v>
      </c>
      <c r="H39" t="str">
        <f t="shared" si="1"/>
        <v>Low Use</v>
      </c>
      <c r="I39" t="s">
        <v>37</v>
      </c>
      <c r="J39" t="s">
        <v>26</v>
      </c>
      <c r="K39">
        <v>6.5</v>
      </c>
      <c r="L39" t="str">
        <f t="shared" si="2"/>
        <v>Severly Deficient Sleep</v>
      </c>
      <c r="M39">
        <v>7</v>
      </c>
      <c r="N39" t="str">
        <f t="shared" si="3"/>
        <v>Sever</v>
      </c>
      <c r="O39" t="s">
        <v>33</v>
      </c>
      <c r="Q39">
        <v>6</v>
      </c>
    </row>
    <row r="40" spans="1:17" hidden="1" x14ac:dyDescent="0.3">
      <c r="A40">
        <v>40</v>
      </c>
      <c r="B40">
        <v>20</v>
      </c>
      <c r="C40" t="str">
        <f t="shared" si="0"/>
        <v>Young Adult</v>
      </c>
      <c r="D40" t="s">
        <v>13</v>
      </c>
      <c r="E40" t="s">
        <v>14</v>
      </c>
      <c r="F40" t="s">
        <v>117</v>
      </c>
      <c r="G40">
        <v>4.5</v>
      </c>
      <c r="H40" t="str">
        <f t="shared" si="1"/>
        <v>Moderate Use</v>
      </c>
      <c r="I40" t="s">
        <v>31</v>
      </c>
      <c r="J40" t="s">
        <v>18</v>
      </c>
      <c r="K40">
        <v>5.8</v>
      </c>
      <c r="L40" t="str">
        <f t="shared" si="2"/>
        <v>Severly Deficient Sleep</v>
      </c>
      <c r="M40">
        <v>6</v>
      </c>
      <c r="N40" t="str">
        <f t="shared" si="3"/>
        <v>Moderate</v>
      </c>
      <c r="O40" t="s">
        <v>28</v>
      </c>
      <c r="P40">
        <v>7</v>
      </c>
      <c r="Q40" t="str">
        <f>IF(P40&gt;=7,"High",IF(P40&gt;=5,"Medium","Low"))</f>
        <v>High</v>
      </c>
    </row>
    <row r="41" spans="1:17" hidden="1" x14ac:dyDescent="0.3">
      <c r="A41">
        <v>41</v>
      </c>
      <c r="B41">
        <v>24</v>
      </c>
      <c r="C41" t="str">
        <f t="shared" si="0"/>
        <v>Young Adult</v>
      </c>
      <c r="D41" t="s">
        <v>21</v>
      </c>
      <c r="E41" t="s">
        <v>22</v>
      </c>
      <c r="F41" t="s">
        <v>118</v>
      </c>
      <c r="G41">
        <v>2.2999999999999998</v>
      </c>
      <c r="H41" t="str">
        <f t="shared" si="1"/>
        <v>Low Use</v>
      </c>
      <c r="I41" t="s">
        <v>46</v>
      </c>
      <c r="J41" t="s">
        <v>26</v>
      </c>
      <c r="K41">
        <v>7.3</v>
      </c>
      <c r="L41" t="str">
        <f t="shared" si="2"/>
        <v>Sufficient Sleep</v>
      </c>
      <c r="M41">
        <v>8</v>
      </c>
      <c r="N41" t="str">
        <f t="shared" si="3"/>
        <v>Sever</v>
      </c>
      <c r="O41" t="s">
        <v>20</v>
      </c>
      <c r="Q41">
        <v>4</v>
      </c>
    </row>
    <row r="42" spans="1:17" hidden="1" x14ac:dyDescent="0.3">
      <c r="A42">
        <v>42</v>
      </c>
      <c r="B42">
        <v>19</v>
      </c>
      <c r="C42" t="str">
        <f t="shared" si="0"/>
        <v>Teenager</v>
      </c>
      <c r="D42" t="s">
        <v>13</v>
      </c>
      <c r="E42" t="s">
        <v>34</v>
      </c>
      <c r="F42" t="s">
        <v>120</v>
      </c>
      <c r="G42">
        <v>5.8</v>
      </c>
      <c r="H42" t="str">
        <f t="shared" si="1"/>
        <v>Moderate Use</v>
      </c>
      <c r="I42" t="s">
        <v>17</v>
      </c>
      <c r="J42" t="s">
        <v>18</v>
      </c>
      <c r="K42">
        <v>5.4</v>
      </c>
      <c r="L42" t="str">
        <f t="shared" si="2"/>
        <v>Severly Deficient Sleep</v>
      </c>
      <c r="M42">
        <v>5</v>
      </c>
      <c r="N42" t="str">
        <f t="shared" si="3"/>
        <v>Moderate</v>
      </c>
      <c r="O42" t="s">
        <v>33</v>
      </c>
      <c r="Q42">
        <v>8</v>
      </c>
    </row>
    <row r="43" spans="1:17" hidden="1" x14ac:dyDescent="0.3">
      <c r="A43">
        <v>43</v>
      </c>
      <c r="B43">
        <v>21</v>
      </c>
      <c r="C43" t="str">
        <f t="shared" si="0"/>
        <v>Young Adult</v>
      </c>
      <c r="D43" t="s">
        <v>21</v>
      </c>
      <c r="E43" t="s">
        <v>14</v>
      </c>
      <c r="F43" t="s">
        <v>121</v>
      </c>
      <c r="G43">
        <v>3.7</v>
      </c>
      <c r="H43" t="str">
        <f t="shared" si="1"/>
        <v>Low Use</v>
      </c>
      <c r="I43" t="s">
        <v>41</v>
      </c>
      <c r="J43" t="s">
        <v>26</v>
      </c>
      <c r="K43">
        <v>6.6</v>
      </c>
      <c r="L43" t="str">
        <f t="shared" si="2"/>
        <v>Severly Deficient Sleep</v>
      </c>
      <c r="M43">
        <v>7</v>
      </c>
      <c r="N43" t="str">
        <f t="shared" si="3"/>
        <v>Sever</v>
      </c>
      <c r="O43" t="s">
        <v>28</v>
      </c>
      <c r="P43">
        <v>5</v>
      </c>
      <c r="Q43" t="str">
        <f>IF(P43&gt;=7,"High",IF(P43&gt;=5,"Medium","Low"))</f>
        <v>Medium</v>
      </c>
    </row>
    <row r="44" spans="1:17" hidden="1" x14ac:dyDescent="0.3">
      <c r="A44">
        <v>44</v>
      </c>
      <c r="B44">
        <v>20</v>
      </c>
      <c r="C44" t="str">
        <f t="shared" si="0"/>
        <v>Young Adult</v>
      </c>
      <c r="D44" t="s">
        <v>13</v>
      </c>
      <c r="E44" t="s">
        <v>14</v>
      </c>
      <c r="F44" t="s">
        <v>122</v>
      </c>
      <c r="G44">
        <v>4.5999999999999996</v>
      </c>
      <c r="H44" t="str">
        <f t="shared" si="1"/>
        <v>Moderate Use</v>
      </c>
      <c r="I44" t="s">
        <v>50</v>
      </c>
      <c r="J44" t="s">
        <v>18</v>
      </c>
      <c r="K44">
        <v>5.7</v>
      </c>
      <c r="L44" t="str">
        <f t="shared" si="2"/>
        <v>Severly Deficient Sleep</v>
      </c>
      <c r="M44">
        <v>6</v>
      </c>
      <c r="N44" t="str">
        <f t="shared" si="3"/>
        <v>Moderate</v>
      </c>
      <c r="O44" t="s">
        <v>20</v>
      </c>
      <c r="Q44">
        <v>7</v>
      </c>
    </row>
    <row r="45" spans="1:17" hidden="1" x14ac:dyDescent="0.3">
      <c r="A45">
        <v>45</v>
      </c>
      <c r="B45">
        <v>18</v>
      </c>
      <c r="C45" t="str">
        <f t="shared" si="0"/>
        <v>Teenager</v>
      </c>
      <c r="D45" t="s">
        <v>21</v>
      </c>
      <c r="E45" t="s">
        <v>34</v>
      </c>
      <c r="F45" t="s">
        <v>124</v>
      </c>
      <c r="G45">
        <v>5.5</v>
      </c>
      <c r="H45" t="str">
        <f t="shared" si="1"/>
        <v>Moderate Use</v>
      </c>
      <c r="I45" t="s">
        <v>31</v>
      </c>
      <c r="J45" t="s">
        <v>18</v>
      </c>
      <c r="K45">
        <v>5.3</v>
      </c>
      <c r="L45" t="str">
        <f t="shared" si="2"/>
        <v>Severly Deficient Sleep</v>
      </c>
      <c r="M45">
        <v>5</v>
      </c>
      <c r="N45" t="str">
        <f t="shared" si="3"/>
        <v>Moderate</v>
      </c>
      <c r="O45" t="s">
        <v>28</v>
      </c>
      <c r="P45">
        <v>8</v>
      </c>
      <c r="Q45" t="str">
        <f>IF(P45&gt;=7,"High",IF(P45&gt;=5,"Medium","Low"))</f>
        <v>High</v>
      </c>
    </row>
    <row r="46" spans="1:17" hidden="1" x14ac:dyDescent="0.3">
      <c r="A46">
        <v>46</v>
      </c>
      <c r="B46">
        <v>23</v>
      </c>
      <c r="C46" t="str">
        <f t="shared" si="0"/>
        <v>Young Adult</v>
      </c>
      <c r="D46" t="s">
        <v>13</v>
      </c>
      <c r="E46" t="s">
        <v>22</v>
      </c>
      <c r="F46" t="s">
        <v>125</v>
      </c>
      <c r="G46">
        <v>2.7</v>
      </c>
      <c r="H46" t="str">
        <f t="shared" si="1"/>
        <v>Low Use</v>
      </c>
      <c r="I46" t="s">
        <v>46</v>
      </c>
      <c r="J46" t="s">
        <v>26</v>
      </c>
      <c r="K46">
        <v>7.1</v>
      </c>
      <c r="L46" t="str">
        <f t="shared" si="2"/>
        <v>Sufficient Sleep</v>
      </c>
      <c r="M46">
        <v>8</v>
      </c>
      <c r="N46" t="str">
        <f t="shared" si="3"/>
        <v>Sever</v>
      </c>
      <c r="O46" t="s">
        <v>33</v>
      </c>
      <c r="Q46">
        <v>4</v>
      </c>
    </row>
    <row r="47" spans="1:17" hidden="1" x14ac:dyDescent="0.3">
      <c r="A47">
        <v>47</v>
      </c>
      <c r="B47">
        <v>19</v>
      </c>
      <c r="C47" t="str">
        <f t="shared" si="0"/>
        <v>Teenager</v>
      </c>
      <c r="D47" t="s">
        <v>21</v>
      </c>
      <c r="E47" t="s">
        <v>14</v>
      </c>
      <c r="F47" t="s">
        <v>128</v>
      </c>
      <c r="G47">
        <v>4.8</v>
      </c>
      <c r="H47" t="str">
        <f t="shared" si="1"/>
        <v>Moderate Use</v>
      </c>
      <c r="I47" t="s">
        <v>17</v>
      </c>
      <c r="J47" t="s">
        <v>18</v>
      </c>
      <c r="K47">
        <v>5.9</v>
      </c>
      <c r="L47" t="str">
        <f t="shared" si="2"/>
        <v>Severly Deficient Sleep</v>
      </c>
      <c r="M47">
        <v>6</v>
      </c>
      <c r="N47" t="str">
        <f t="shared" si="3"/>
        <v>Moderate</v>
      </c>
      <c r="O47" t="s">
        <v>20</v>
      </c>
      <c r="P47">
        <v>7</v>
      </c>
      <c r="Q47" t="str">
        <f t="shared" ref="Q47:Q49" si="11">IF(P47&gt;=7,"High",IF(P47&gt;=5,"Medium","Low"))</f>
        <v>High</v>
      </c>
    </row>
    <row r="48" spans="1:17" hidden="1" x14ac:dyDescent="0.3">
      <c r="A48">
        <v>48</v>
      </c>
      <c r="B48">
        <v>20</v>
      </c>
      <c r="C48" t="str">
        <f t="shared" si="0"/>
        <v>Young Adult</v>
      </c>
      <c r="D48" t="s">
        <v>13</v>
      </c>
      <c r="E48" t="s">
        <v>14</v>
      </c>
      <c r="F48" t="s">
        <v>129</v>
      </c>
      <c r="G48">
        <v>5.5</v>
      </c>
      <c r="H48" t="str">
        <f t="shared" si="1"/>
        <v>Moderate Use</v>
      </c>
      <c r="I48" t="s">
        <v>31</v>
      </c>
      <c r="J48" t="s">
        <v>18</v>
      </c>
      <c r="K48">
        <v>5.6</v>
      </c>
      <c r="L48" t="str">
        <f t="shared" si="2"/>
        <v>Severly Deficient Sleep</v>
      </c>
      <c r="M48">
        <v>5</v>
      </c>
      <c r="N48" t="str">
        <f t="shared" si="3"/>
        <v>Moderate</v>
      </c>
      <c r="O48" t="s">
        <v>28</v>
      </c>
      <c r="P48">
        <v>8</v>
      </c>
      <c r="Q48" t="str">
        <f t="shared" si="11"/>
        <v>High</v>
      </c>
    </row>
    <row r="49" spans="1:17" hidden="1" x14ac:dyDescent="0.3">
      <c r="A49">
        <v>49</v>
      </c>
      <c r="B49">
        <v>22</v>
      </c>
      <c r="C49" t="str">
        <f t="shared" si="0"/>
        <v>Young Adult</v>
      </c>
      <c r="D49" t="s">
        <v>21</v>
      </c>
      <c r="E49" t="s">
        <v>22</v>
      </c>
      <c r="F49" t="s">
        <v>130</v>
      </c>
      <c r="G49">
        <v>3.3</v>
      </c>
      <c r="H49" t="str">
        <f t="shared" si="1"/>
        <v>Low Use</v>
      </c>
      <c r="I49" t="s">
        <v>41</v>
      </c>
      <c r="J49" t="s">
        <v>26</v>
      </c>
      <c r="K49">
        <v>6.7</v>
      </c>
      <c r="L49" t="str">
        <f t="shared" si="2"/>
        <v>Severly Deficient Sleep</v>
      </c>
      <c r="M49">
        <v>7</v>
      </c>
      <c r="N49" t="str">
        <f t="shared" si="3"/>
        <v>Sever</v>
      </c>
      <c r="O49" t="s">
        <v>20</v>
      </c>
      <c r="P49">
        <v>5</v>
      </c>
      <c r="Q49" t="str">
        <f t="shared" si="11"/>
        <v>Medium</v>
      </c>
    </row>
    <row r="50" spans="1:17" hidden="1" x14ac:dyDescent="0.3">
      <c r="A50">
        <v>50</v>
      </c>
      <c r="B50">
        <v>19</v>
      </c>
      <c r="C50" t="str">
        <f t="shared" si="0"/>
        <v>Teenager</v>
      </c>
      <c r="D50" t="s">
        <v>13</v>
      </c>
      <c r="E50" t="s">
        <v>34</v>
      </c>
      <c r="F50" t="s">
        <v>131</v>
      </c>
      <c r="G50">
        <v>6.3</v>
      </c>
      <c r="H50" t="str">
        <f t="shared" si="1"/>
        <v>Heavy Use</v>
      </c>
      <c r="I50" t="s">
        <v>17</v>
      </c>
      <c r="J50" t="s">
        <v>18</v>
      </c>
      <c r="K50">
        <v>5.2</v>
      </c>
      <c r="L50" t="str">
        <f t="shared" si="2"/>
        <v>Severly Deficient Sleep</v>
      </c>
      <c r="M50">
        <v>5</v>
      </c>
      <c r="N50" t="str">
        <f t="shared" si="3"/>
        <v>Moderate</v>
      </c>
      <c r="O50" t="s">
        <v>33</v>
      </c>
      <c r="Q50">
        <v>9</v>
      </c>
    </row>
    <row r="51" spans="1:17" hidden="1" x14ac:dyDescent="0.3">
      <c r="A51">
        <v>51</v>
      </c>
      <c r="B51">
        <v>21</v>
      </c>
      <c r="C51" t="str">
        <f t="shared" si="0"/>
        <v>Young Adult</v>
      </c>
      <c r="D51" t="s">
        <v>21</v>
      </c>
      <c r="E51" t="s">
        <v>14</v>
      </c>
      <c r="F51" t="s">
        <v>133</v>
      </c>
      <c r="G51">
        <v>3.8</v>
      </c>
      <c r="H51" t="str">
        <f t="shared" si="1"/>
        <v>Low Use</v>
      </c>
      <c r="I51" t="s">
        <v>37</v>
      </c>
      <c r="J51" t="s">
        <v>26</v>
      </c>
      <c r="K51">
        <v>6.4</v>
      </c>
      <c r="L51" t="str">
        <f t="shared" si="2"/>
        <v>Severly Deficient Sleep</v>
      </c>
      <c r="M51">
        <v>7</v>
      </c>
      <c r="N51" t="str">
        <f t="shared" si="3"/>
        <v>Sever</v>
      </c>
      <c r="O51" t="s">
        <v>28</v>
      </c>
      <c r="P51">
        <v>6</v>
      </c>
      <c r="Q51" t="str">
        <f t="shared" ref="Q51:Q52" si="12">IF(P51&gt;=7,"High",IF(P51&gt;=5,"Medium","Low"))</f>
        <v>Medium</v>
      </c>
    </row>
    <row r="52" spans="1:17" hidden="1" x14ac:dyDescent="0.3">
      <c r="A52">
        <v>52</v>
      </c>
      <c r="B52">
        <v>20</v>
      </c>
      <c r="C52" t="str">
        <f t="shared" si="0"/>
        <v>Young Adult</v>
      </c>
      <c r="D52" t="s">
        <v>13</v>
      </c>
      <c r="E52" t="s">
        <v>14</v>
      </c>
      <c r="F52" t="s">
        <v>135</v>
      </c>
      <c r="G52">
        <v>4.7</v>
      </c>
      <c r="H52" t="str">
        <f t="shared" si="1"/>
        <v>Moderate Use</v>
      </c>
      <c r="I52" t="s">
        <v>31</v>
      </c>
      <c r="J52" t="s">
        <v>18</v>
      </c>
      <c r="K52">
        <v>5.8</v>
      </c>
      <c r="L52" t="str">
        <f t="shared" si="2"/>
        <v>Severly Deficient Sleep</v>
      </c>
      <c r="M52">
        <v>6</v>
      </c>
      <c r="N52" t="str">
        <f t="shared" si="3"/>
        <v>Moderate</v>
      </c>
      <c r="O52" t="s">
        <v>20</v>
      </c>
      <c r="P52">
        <v>7</v>
      </c>
      <c r="Q52" t="str">
        <f t="shared" si="12"/>
        <v>High</v>
      </c>
    </row>
    <row r="53" spans="1:17" hidden="1" x14ac:dyDescent="0.3">
      <c r="A53">
        <v>53</v>
      </c>
      <c r="B53">
        <v>24</v>
      </c>
      <c r="C53" t="str">
        <f t="shared" si="0"/>
        <v>Young Adult</v>
      </c>
      <c r="D53" t="s">
        <v>21</v>
      </c>
      <c r="E53" t="s">
        <v>22</v>
      </c>
      <c r="F53" t="s">
        <v>136</v>
      </c>
      <c r="G53">
        <v>2.4</v>
      </c>
      <c r="H53" t="str">
        <f t="shared" si="1"/>
        <v>Low Use</v>
      </c>
      <c r="I53" t="s">
        <v>46</v>
      </c>
      <c r="J53" t="s">
        <v>26</v>
      </c>
      <c r="K53">
        <v>7.2</v>
      </c>
      <c r="L53" t="str">
        <f t="shared" si="2"/>
        <v>Sufficient Sleep</v>
      </c>
      <c r="M53">
        <v>8</v>
      </c>
      <c r="N53" t="str">
        <f t="shared" si="3"/>
        <v>Sever</v>
      </c>
      <c r="O53" t="s">
        <v>33</v>
      </c>
      <c r="Q53">
        <v>4</v>
      </c>
    </row>
    <row r="54" spans="1:17" hidden="1" x14ac:dyDescent="0.3">
      <c r="A54">
        <v>54</v>
      </c>
      <c r="B54">
        <v>19</v>
      </c>
      <c r="C54" t="str">
        <f t="shared" si="0"/>
        <v>Teenager</v>
      </c>
      <c r="D54" t="s">
        <v>13</v>
      </c>
      <c r="E54" t="s">
        <v>34</v>
      </c>
      <c r="F54" t="s">
        <v>138</v>
      </c>
      <c r="G54">
        <v>5.7</v>
      </c>
      <c r="H54" t="str">
        <f t="shared" si="1"/>
        <v>Moderate Use</v>
      </c>
      <c r="I54" t="s">
        <v>17</v>
      </c>
      <c r="J54" t="s">
        <v>18</v>
      </c>
      <c r="K54">
        <v>5.5</v>
      </c>
      <c r="L54" t="str">
        <f t="shared" si="2"/>
        <v>Severly Deficient Sleep</v>
      </c>
      <c r="M54">
        <v>5</v>
      </c>
      <c r="N54" t="str">
        <f t="shared" si="3"/>
        <v>Moderate</v>
      </c>
      <c r="O54" t="s">
        <v>28</v>
      </c>
      <c r="P54">
        <v>8</v>
      </c>
      <c r="Q54" t="str">
        <f t="shared" ref="Q54:Q55" si="13">IF(P54&gt;=7,"High",IF(P54&gt;=5,"Medium","Low"))</f>
        <v>High</v>
      </c>
    </row>
    <row r="55" spans="1:17" hidden="1" x14ac:dyDescent="0.3">
      <c r="A55">
        <v>55</v>
      </c>
      <c r="B55">
        <v>21</v>
      </c>
      <c r="C55" t="str">
        <f t="shared" si="0"/>
        <v>Young Adult</v>
      </c>
      <c r="D55" t="s">
        <v>21</v>
      </c>
      <c r="E55" t="s">
        <v>14</v>
      </c>
      <c r="F55" t="s">
        <v>139</v>
      </c>
      <c r="G55">
        <v>3.6</v>
      </c>
      <c r="H55" t="str">
        <f t="shared" si="1"/>
        <v>Low Use</v>
      </c>
      <c r="I55" t="s">
        <v>41</v>
      </c>
      <c r="J55" t="s">
        <v>26</v>
      </c>
      <c r="K55">
        <v>6.5</v>
      </c>
      <c r="L55" t="str">
        <f t="shared" si="2"/>
        <v>Severly Deficient Sleep</v>
      </c>
      <c r="M55">
        <v>7</v>
      </c>
      <c r="N55" t="str">
        <f t="shared" si="3"/>
        <v>Sever</v>
      </c>
      <c r="O55" t="s">
        <v>20</v>
      </c>
      <c r="P55">
        <v>5</v>
      </c>
      <c r="Q55" t="str">
        <f t="shared" si="13"/>
        <v>Medium</v>
      </c>
    </row>
    <row r="56" spans="1:17" hidden="1" x14ac:dyDescent="0.3">
      <c r="A56">
        <v>56</v>
      </c>
      <c r="B56">
        <v>20</v>
      </c>
      <c r="C56" t="str">
        <f t="shared" si="0"/>
        <v>Young Adult</v>
      </c>
      <c r="D56" t="s">
        <v>13</v>
      </c>
      <c r="E56" t="s">
        <v>14</v>
      </c>
      <c r="F56" t="s">
        <v>140</v>
      </c>
      <c r="G56">
        <v>4.9000000000000004</v>
      </c>
      <c r="H56" t="str">
        <f t="shared" si="1"/>
        <v>Moderate Use</v>
      </c>
      <c r="I56" t="s">
        <v>50</v>
      </c>
      <c r="J56" t="s">
        <v>18</v>
      </c>
      <c r="K56">
        <v>5.6</v>
      </c>
      <c r="L56" t="str">
        <f t="shared" si="2"/>
        <v>Severly Deficient Sleep</v>
      </c>
      <c r="M56">
        <v>6</v>
      </c>
      <c r="N56" t="str">
        <f t="shared" si="3"/>
        <v>Moderate</v>
      </c>
      <c r="O56" t="s">
        <v>33</v>
      </c>
      <c r="Q56">
        <v>7</v>
      </c>
    </row>
    <row r="57" spans="1:17" hidden="1" x14ac:dyDescent="0.3">
      <c r="A57">
        <v>57</v>
      </c>
      <c r="B57">
        <v>18</v>
      </c>
      <c r="C57" t="str">
        <f t="shared" si="0"/>
        <v>Teenager</v>
      </c>
      <c r="D57" t="s">
        <v>21</v>
      </c>
      <c r="E57" t="s">
        <v>34</v>
      </c>
      <c r="F57" t="s">
        <v>141</v>
      </c>
      <c r="G57">
        <v>5.6</v>
      </c>
      <c r="H57" t="str">
        <f t="shared" si="1"/>
        <v>Moderate Use</v>
      </c>
      <c r="I57" t="s">
        <v>31</v>
      </c>
      <c r="J57" t="s">
        <v>18</v>
      </c>
      <c r="K57">
        <v>5.2</v>
      </c>
      <c r="L57" t="str">
        <f t="shared" si="2"/>
        <v>Severly Deficient Sleep</v>
      </c>
      <c r="M57">
        <v>5</v>
      </c>
      <c r="N57" t="str">
        <f t="shared" si="3"/>
        <v>Moderate</v>
      </c>
      <c r="O57" t="s">
        <v>28</v>
      </c>
      <c r="P57">
        <v>8</v>
      </c>
      <c r="Q57" t="str">
        <f>IF(P57&gt;=7,"High",IF(P57&gt;=5,"Medium","Low"))</f>
        <v>High</v>
      </c>
    </row>
    <row r="58" spans="1:17" hidden="1" x14ac:dyDescent="0.3">
      <c r="A58">
        <v>58</v>
      </c>
      <c r="B58">
        <v>23</v>
      </c>
      <c r="C58" t="str">
        <f t="shared" si="0"/>
        <v>Young Adult</v>
      </c>
      <c r="D58" t="s">
        <v>13</v>
      </c>
      <c r="E58" t="s">
        <v>22</v>
      </c>
      <c r="F58" t="s">
        <v>142</v>
      </c>
      <c r="G58">
        <v>2.8</v>
      </c>
      <c r="H58" t="str">
        <f t="shared" si="1"/>
        <v>Low Use</v>
      </c>
      <c r="I58" t="s">
        <v>46</v>
      </c>
      <c r="J58" t="s">
        <v>26</v>
      </c>
      <c r="K58">
        <v>7</v>
      </c>
      <c r="L58" t="str">
        <f t="shared" si="2"/>
        <v>Sufficient Sleep</v>
      </c>
      <c r="M58">
        <v>8</v>
      </c>
      <c r="N58" t="str">
        <f t="shared" si="3"/>
        <v>Sever</v>
      </c>
      <c r="O58" t="s">
        <v>20</v>
      </c>
      <c r="Q58">
        <v>4</v>
      </c>
    </row>
    <row r="59" spans="1:17" hidden="1" x14ac:dyDescent="0.3">
      <c r="A59">
        <v>59</v>
      </c>
      <c r="B59">
        <v>19</v>
      </c>
      <c r="C59" t="str">
        <f t="shared" si="0"/>
        <v>Teenager</v>
      </c>
      <c r="D59" t="s">
        <v>21</v>
      </c>
      <c r="E59" t="s">
        <v>14</v>
      </c>
      <c r="F59" t="s">
        <v>143</v>
      </c>
      <c r="G59">
        <v>4.5999999999999996</v>
      </c>
      <c r="H59" t="str">
        <f t="shared" si="1"/>
        <v>Moderate Use</v>
      </c>
      <c r="I59" t="s">
        <v>17</v>
      </c>
      <c r="J59" t="s">
        <v>18</v>
      </c>
      <c r="K59">
        <v>5.9</v>
      </c>
      <c r="L59" t="str">
        <f t="shared" si="2"/>
        <v>Severly Deficient Sleep</v>
      </c>
      <c r="M59">
        <v>6</v>
      </c>
      <c r="N59" t="str">
        <f t="shared" si="3"/>
        <v>Moderate</v>
      </c>
      <c r="O59" t="s">
        <v>33</v>
      </c>
      <c r="Q59">
        <v>7</v>
      </c>
    </row>
    <row r="60" spans="1:17" hidden="1" x14ac:dyDescent="0.3">
      <c r="A60">
        <v>60</v>
      </c>
      <c r="B60">
        <v>20</v>
      </c>
      <c r="C60" t="str">
        <f t="shared" si="0"/>
        <v>Young Adult</v>
      </c>
      <c r="D60" t="s">
        <v>13</v>
      </c>
      <c r="E60" t="s">
        <v>14</v>
      </c>
      <c r="F60" t="s">
        <v>144</v>
      </c>
      <c r="G60">
        <v>5.4</v>
      </c>
      <c r="H60" t="str">
        <f t="shared" si="1"/>
        <v>Moderate Use</v>
      </c>
      <c r="I60" t="s">
        <v>31</v>
      </c>
      <c r="J60" t="s">
        <v>18</v>
      </c>
      <c r="K60">
        <v>5.7</v>
      </c>
      <c r="L60" t="str">
        <f t="shared" si="2"/>
        <v>Severly Deficient Sleep</v>
      </c>
      <c r="M60">
        <v>5</v>
      </c>
      <c r="N60" t="str">
        <f t="shared" si="3"/>
        <v>Moderate</v>
      </c>
      <c r="O60" t="s">
        <v>28</v>
      </c>
      <c r="P60">
        <v>8</v>
      </c>
      <c r="Q60" t="str">
        <f t="shared" ref="Q60:Q62" si="14">IF(P60&gt;=7,"High",IF(P60&gt;=5,"Medium","Low"))</f>
        <v>High</v>
      </c>
    </row>
    <row r="61" spans="1:17" hidden="1" x14ac:dyDescent="0.3">
      <c r="A61">
        <v>61</v>
      </c>
      <c r="B61">
        <v>22</v>
      </c>
      <c r="C61" t="str">
        <f t="shared" si="0"/>
        <v>Young Adult</v>
      </c>
      <c r="D61" t="s">
        <v>21</v>
      </c>
      <c r="E61" t="s">
        <v>22</v>
      </c>
      <c r="F61" t="s">
        <v>145</v>
      </c>
      <c r="G61">
        <v>3.1</v>
      </c>
      <c r="H61" t="str">
        <f t="shared" si="1"/>
        <v>Low Use</v>
      </c>
      <c r="I61" t="s">
        <v>41</v>
      </c>
      <c r="J61" t="s">
        <v>26</v>
      </c>
      <c r="K61">
        <v>7.1</v>
      </c>
      <c r="L61" t="str">
        <f t="shared" si="2"/>
        <v>Sufficient Sleep</v>
      </c>
      <c r="M61">
        <v>7</v>
      </c>
      <c r="N61" t="str">
        <f t="shared" si="3"/>
        <v>Sever</v>
      </c>
      <c r="O61" t="s">
        <v>28</v>
      </c>
      <c r="P61">
        <v>5</v>
      </c>
      <c r="Q61" t="str">
        <f t="shared" si="14"/>
        <v>Medium</v>
      </c>
    </row>
    <row r="62" spans="1:17" hidden="1" x14ac:dyDescent="0.3">
      <c r="A62">
        <v>62</v>
      </c>
      <c r="B62">
        <v>19</v>
      </c>
      <c r="C62" t="str">
        <f t="shared" si="0"/>
        <v>Teenager</v>
      </c>
      <c r="D62" t="s">
        <v>13</v>
      </c>
      <c r="E62" t="s">
        <v>14</v>
      </c>
      <c r="F62" t="s">
        <v>146</v>
      </c>
      <c r="G62">
        <v>5.6</v>
      </c>
      <c r="H62" t="str">
        <f t="shared" si="1"/>
        <v>Moderate Use</v>
      </c>
      <c r="I62" t="s">
        <v>17</v>
      </c>
      <c r="J62" t="s">
        <v>18</v>
      </c>
      <c r="K62">
        <v>5.6</v>
      </c>
      <c r="L62" t="str">
        <f t="shared" si="2"/>
        <v>Severly Deficient Sleep</v>
      </c>
      <c r="M62">
        <v>5</v>
      </c>
      <c r="N62" t="str">
        <f t="shared" si="3"/>
        <v>Moderate</v>
      </c>
      <c r="O62" t="s">
        <v>20</v>
      </c>
      <c r="P62">
        <v>8</v>
      </c>
      <c r="Q62" t="str">
        <f t="shared" si="14"/>
        <v>High</v>
      </c>
    </row>
    <row r="63" spans="1:17" hidden="1" x14ac:dyDescent="0.3">
      <c r="A63">
        <v>63</v>
      </c>
      <c r="B63">
        <v>20</v>
      </c>
      <c r="C63" t="str">
        <f t="shared" si="0"/>
        <v>Young Adult</v>
      </c>
      <c r="D63" t="s">
        <v>21</v>
      </c>
      <c r="E63" t="s">
        <v>14</v>
      </c>
      <c r="F63" t="s">
        <v>147</v>
      </c>
      <c r="G63">
        <v>4.2</v>
      </c>
      <c r="H63" t="str">
        <f t="shared" si="1"/>
        <v>Moderate Use</v>
      </c>
      <c r="I63" t="s">
        <v>31</v>
      </c>
      <c r="J63" t="s">
        <v>18</v>
      </c>
      <c r="K63">
        <v>6</v>
      </c>
      <c r="L63" t="str">
        <f t="shared" si="2"/>
        <v>Severly Deficient Sleep</v>
      </c>
      <c r="M63">
        <v>6</v>
      </c>
      <c r="N63" t="str">
        <f t="shared" si="3"/>
        <v>Moderate</v>
      </c>
      <c r="O63" t="s">
        <v>33</v>
      </c>
      <c r="Q63">
        <v>7</v>
      </c>
    </row>
    <row r="64" spans="1:17" hidden="1" x14ac:dyDescent="0.3">
      <c r="A64">
        <v>64</v>
      </c>
      <c r="B64">
        <v>18</v>
      </c>
      <c r="C64" t="str">
        <f t="shared" si="0"/>
        <v>Teenager</v>
      </c>
      <c r="D64" t="s">
        <v>13</v>
      </c>
      <c r="E64" t="s">
        <v>34</v>
      </c>
      <c r="F64" t="s">
        <v>148</v>
      </c>
      <c r="G64">
        <v>6.1</v>
      </c>
      <c r="H64" t="str">
        <f t="shared" si="1"/>
        <v>Heavy Use</v>
      </c>
      <c r="I64" t="s">
        <v>50</v>
      </c>
      <c r="J64" t="s">
        <v>18</v>
      </c>
      <c r="K64">
        <v>5.2</v>
      </c>
      <c r="L64" t="str">
        <f t="shared" si="2"/>
        <v>Severly Deficient Sleep</v>
      </c>
      <c r="M64">
        <v>4</v>
      </c>
      <c r="N64" t="str">
        <f t="shared" si="3"/>
        <v>Mild</v>
      </c>
      <c r="O64" t="s">
        <v>28</v>
      </c>
      <c r="Q64">
        <v>9</v>
      </c>
    </row>
    <row r="65" spans="1:17" hidden="1" x14ac:dyDescent="0.3">
      <c r="A65">
        <v>65</v>
      </c>
      <c r="B65">
        <v>23</v>
      </c>
      <c r="C65" t="str">
        <f t="shared" ref="C65:C128" si="15">IF(B65&gt;=20,"Young Adult","Teenager")</f>
        <v>Young Adult</v>
      </c>
      <c r="D65" t="s">
        <v>21</v>
      </c>
      <c r="E65" t="s">
        <v>22</v>
      </c>
      <c r="F65" t="s">
        <v>149</v>
      </c>
      <c r="G65">
        <v>2.2999999999999998</v>
      </c>
      <c r="H65" t="str">
        <f t="shared" ref="H65:H128" si="16">IF(G65&gt;=6,"Heavy Use",IF(G65&gt;=4,"Moderate Use","Low Use"))</f>
        <v>Low Use</v>
      </c>
      <c r="I65" t="s">
        <v>46</v>
      </c>
      <c r="J65" t="s">
        <v>26</v>
      </c>
      <c r="K65">
        <v>7.4</v>
      </c>
      <c r="L65" t="str">
        <f t="shared" ref="L65:L128" si="17">IF(K65&gt;=9,"Excessive Sleep",IF(K65&gt;=7,"Sufficient Sleep","Severly Deficient Sleep"))</f>
        <v>Sufficient Sleep</v>
      </c>
      <c r="M65">
        <v>8</v>
      </c>
      <c r="N65" t="str">
        <f t="shared" ref="N65:N128" si="18">IF(M65&gt;=7,"Sever",IF(M65&lt;=4,"Mild","Moderate"))</f>
        <v>Sever</v>
      </c>
      <c r="O65" t="s">
        <v>20</v>
      </c>
      <c r="Q65">
        <v>3</v>
      </c>
    </row>
    <row r="66" spans="1:17" hidden="1" x14ac:dyDescent="0.3">
      <c r="A66">
        <v>66</v>
      </c>
      <c r="B66">
        <v>21</v>
      </c>
      <c r="C66" t="str">
        <f t="shared" si="15"/>
        <v>Young Adult</v>
      </c>
      <c r="D66" t="s">
        <v>13</v>
      </c>
      <c r="E66" t="s">
        <v>14</v>
      </c>
      <c r="F66" t="s">
        <v>150</v>
      </c>
      <c r="G66">
        <v>4.8</v>
      </c>
      <c r="H66" t="str">
        <f t="shared" si="16"/>
        <v>Moderate Use</v>
      </c>
      <c r="I66" t="s">
        <v>17</v>
      </c>
      <c r="J66" t="s">
        <v>18</v>
      </c>
      <c r="K66">
        <v>5.8</v>
      </c>
      <c r="L66" t="str">
        <f t="shared" si="17"/>
        <v>Severly Deficient Sleep</v>
      </c>
      <c r="M66">
        <v>6</v>
      </c>
      <c r="N66" t="str">
        <f t="shared" si="18"/>
        <v>Moderate</v>
      </c>
      <c r="O66" t="s">
        <v>28</v>
      </c>
      <c r="P66">
        <v>7</v>
      </c>
      <c r="Q66" t="str">
        <f>IF(P66&gt;=7,"High",IF(P66&gt;=5,"Medium","Low"))</f>
        <v>High</v>
      </c>
    </row>
    <row r="67" spans="1:17" hidden="1" x14ac:dyDescent="0.3">
      <c r="A67">
        <v>67</v>
      </c>
      <c r="B67">
        <v>20</v>
      </c>
      <c r="C67" t="str">
        <f t="shared" si="15"/>
        <v>Young Adult</v>
      </c>
      <c r="D67" t="s">
        <v>21</v>
      </c>
      <c r="E67" t="s">
        <v>14</v>
      </c>
      <c r="F67" t="s">
        <v>151</v>
      </c>
      <c r="G67">
        <v>3.9</v>
      </c>
      <c r="H67" t="str">
        <f t="shared" si="16"/>
        <v>Low Use</v>
      </c>
      <c r="I67" t="s">
        <v>37</v>
      </c>
      <c r="J67" t="s">
        <v>26</v>
      </c>
      <c r="K67">
        <v>6.5</v>
      </c>
      <c r="L67" t="str">
        <f t="shared" si="17"/>
        <v>Severly Deficient Sleep</v>
      </c>
      <c r="M67">
        <v>7</v>
      </c>
      <c r="N67" t="str">
        <f t="shared" si="18"/>
        <v>Sever</v>
      </c>
      <c r="O67" t="s">
        <v>33</v>
      </c>
      <c r="Q67">
        <v>6</v>
      </c>
    </row>
    <row r="68" spans="1:17" hidden="1" x14ac:dyDescent="0.3">
      <c r="A68">
        <v>68</v>
      </c>
      <c r="B68">
        <v>19</v>
      </c>
      <c r="C68" t="str">
        <f t="shared" si="15"/>
        <v>Teenager</v>
      </c>
      <c r="D68" t="s">
        <v>13</v>
      </c>
      <c r="E68" t="s">
        <v>34</v>
      </c>
      <c r="F68" t="s">
        <v>152</v>
      </c>
      <c r="G68">
        <v>5.7</v>
      </c>
      <c r="H68" t="str">
        <f t="shared" si="16"/>
        <v>Moderate Use</v>
      </c>
      <c r="I68" t="s">
        <v>31</v>
      </c>
      <c r="J68" t="s">
        <v>18</v>
      </c>
      <c r="K68">
        <v>5.4</v>
      </c>
      <c r="L68" t="str">
        <f t="shared" si="17"/>
        <v>Severly Deficient Sleep</v>
      </c>
      <c r="M68">
        <v>5</v>
      </c>
      <c r="N68" t="str">
        <f t="shared" si="18"/>
        <v>Moderate</v>
      </c>
      <c r="O68" t="s">
        <v>20</v>
      </c>
      <c r="P68">
        <v>8</v>
      </c>
      <c r="Q68" t="str">
        <f>IF(P68&gt;=7,"High",IF(P68&gt;=5,"Medium","Low"))</f>
        <v>High</v>
      </c>
    </row>
    <row r="69" spans="1:17" hidden="1" x14ac:dyDescent="0.3">
      <c r="A69">
        <v>69</v>
      </c>
      <c r="B69">
        <v>22</v>
      </c>
      <c r="C69" t="str">
        <f t="shared" si="15"/>
        <v>Young Adult</v>
      </c>
      <c r="D69" t="s">
        <v>21</v>
      </c>
      <c r="E69" t="s">
        <v>22</v>
      </c>
      <c r="F69" t="s">
        <v>153</v>
      </c>
      <c r="G69">
        <v>2.8</v>
      </c>
      <c r="H69" t="str">
        <f t="shared" si="16"/>
        <v>Low Use</v>
      </c>
      <c r="I69" t="s">
        <v>46</v>
      </c>
      <c r="J69" t="s">
        <v>26</v>
      </c>
      <c r="K69">
        <v>7.2</v>
      </c>
      <c r="L69" t="str">
        <f t="shared" si="17"/>
        <v>Sufficient Sleep</v>
      </c>
      <c r="M69">
        <v>8</v>
      </c>
      <c r="N69" t="str">
        <f t="shared" si="18"/>
        <v>Sever</v>
      </c>
      <c r="O69" t="s">
        <v>28</v>
      </c>
      <c r="Q69">
        <v>4</v>
      </c>
    </row>
    <row r="70" spans="1:17" hidden="1" x14ac:dyDescent="0.3">
      <c r="A70">
        <v>70</v>
      </c>
      <c r="B70">
        <v>20</v>
      </c>
      <c r="C70" t="str">
        <f t="shared" si="15"/>
        <v>Young Adult</v>
      </c>
      <c r="D70" t="s">
        <v>13</v>
      </c>
      <c r="E70" t="s">
        <v>14</v>
      </c>
      <c r="F70" t="s">
        <v>154</v>
      </c>
      <c r="G70">
        <v>4.5</v>
      </c>
      <c r="H70" t="str">
        <f t="shared" si="16"/>
        <v>Moderate Use</v>
      </c>
      <c r="I70" t="s">
        <v>17</v>
      </c>
      <c r="J70" t="s">
        <v>18</v>
      </c>
      <c r="K70">
        <v>5.9</v>
      </c>
      <c r="L70" t="str">
        <f t="shared" si="17"/>
        <v>Severly Deficient Sleep</v>
      </c>
      <c r="M70">
        <v>6</v>
      </c>
      <c r="N70" t="str">
        <f t="shared" si="18"/>
        <v>Moderate</v>
      </c>
      <c r="O70" t="s">
        <v>33</v>
      </c>
      <c r="Q70">
        <v>7</v>
      </c>
    </row>
    <row r="71" spans="1:17" hidden="1" x14ac:dyDescent="0.3">
      <c r="A71">
        <v>71</v>
      </c>
      <c r="B71">
        <v>18</v>
      </c>
      <c r="C71" t="str">
        <f t="shared" si="15"/>
        <v>Teenager</v>
      </c>
      <c r="D71" t="s">
        <v>21</v>
      </c>
      <c r="E71" t="s">
        <v>34</v>
      </c>
      <c r="F71" t="s">
        <v>155</v>
      </c>
      <c r="G71">
        <v>5.4</v>
      </c>
      <c r="H71" t="str">
        <f t="shared" si="16"/>
        <v>Moderate Use</v>
      </c>
      <c r="I71" t="s">
        <v>50</v>
      </c>
      <c r="J71" t="s">
        <v>18</v>
      </c>
      <c r="K71">
        <v>5.5</v>
      </c>
      <c r="L71" t="str">
        <f t="shared" si="17"/>
        <v>Severly Deficient Sleep</v>
      </c>
      <c r="M71">
        <v>5</v>
      </c>
      <c r="N71" t="str">
        <f t="shared" si="18"/>
        <v>Moderate</v>
      </c>
      <c r="O71" t="s">
        <v>28</v>
      </c>
      <c r="Q71">
        <v>8</v>
      </c>
    </row>
    <row r="72" spans="1:17" hidden="1" x14ac:dyDescent="0.3">
      <c r="A72">
        <v>72</v>
      </c>
      <c r="B72">
        <v>21</v>
      </c>
      <c r="C72" t="str">
        <f t="shared" si="15"/>
        <v>Young Adult</v>
      </c>
      <c r="D72" t="s">
        <v>13</v>
      </c>
      <c r="E72" t="s">
        <v>22</v>
      </c>
      <c r="F72" t="s">
        <v>156</v>
      </c>
      <c r="G72">
        <v>3.2</v>
      </c>
      <c r="H72" t="str">
        <f t="shared" si="16"/>
        <v>Low Use</v>
      </c>
      <c r="I72" t="s">
        <v>41</v>
      </c>
      <c r="J72" t="s">
        <v>26</v>
      </c>
      <c r="K72">
        <v>6.8</v>
      </c>
      <c r="L72" t="str">
        <f t="shared" si="17"/>
        <v>Severly Deficient Sleep</v>
      </c>
      <c r="M72">
        <v>7</v>
      </c>
      <c r="N72" t="str">
        <f t="shared" si="18"/>
        <v>Sever</v>
      </c>
      <c r="O72" t="s">
        <v>20</v>
      </c>
      <c r="P72">
        <v>5</v>
      </c>
      <c r="Q72" t="str">
        <f>IF(P72&gt;=7,"High",IF(P72&gt;=5,"Medium","Low"))</f>
        <v>Medium</v>
      </c>
    </row>
    <row r="73" spans="1:17" hidden="1" x14ac:dyDescent="0.3">
      <c r="A73">
        <v>73</v>
      </c>
      <c r="B73">
        <v>19</v>
      </c>
      <c r="C73" t="str">
        <f t="shared" si="15"/>
        <v>Teenager</v>
      </c>
      <c r="D73" t="s">
        <v>21</v>
      </c>
      <c r="E73" t="s">
        <v>14</v>
      </c>
      <c r="F73" t="s">
        <v>157</v>
      </c>
      <c r="G73">
        <v>4.9000000000000004</v>
      </c>
      <c r="H73" t="str">
        <f t="shared" si="16"/>
        <v>Moderate Use</v>
      </c>
      <c r="I73" t="s">
        <v>31</v>
      </c>
      <c r="J73" t="s">
        <v>18</v>
      </c>
      <c r="K73">
        <v>5.7</v>
      </c>
      <c r="L73" t="str">
        <f t="shared" si="17"/>
        <v>Severly Deficient Sleep</v>
      </c>
      <c r="M73">
        <v>6</v>
      </c>
      <c r="N73" t="str">
        <f t="shared" si="18"/>
        <v>Moderate</v>
      </c>
      <c r="O73" t="s">
        <v>33</v>
      </c>
      <c r="Q73">
        <v>7</v>
      </c>
    </row>
    <row r="74" spans="1:17" hidden="1" x14ac:dyDescent="0.3">
      <c r="A74">
        <v>74</v>
      </c>
      <c r="B74">
        <v>20</v>
      </c>
      <c r="C74" t="str">
        <f t="shared" si="15"/>
        <v>Young Adult</v>
      </c>
      <c r="D74" t="s">
        <v>13</v>
      </c>
      <c r="E74" t="s">
        <v>14</v>
      </c>
      <c r="F74" t="s">
        <v>158</v>
      </c>
      <c r="G74">
        <v>5.8</v>
      </c>
      <c r="H74" t="str">
        <f t="shared" si="16"/>
        <v>Moderate Use</v>
      </c>
      <c r="I74" t="s">
        <v>17</v>
      </c>
      <c r="J74" t="s">
        <v>18</v>
      </c>
      <c r="K74">
        <v>5.3</v>
      </c>
      <c r="L74" t="str">
        <f t="shared" si="17"/>
        <v>Severly Deficient Sleep</v>
      </c>
      <c r="M74">
        <v>5</v>
      </c>
      <c r="N74" t="str">
        <f t="shared" si="18"/>
        <v>Moderate</v>
      </c>
      <c r="O74" t="s">
        <v>28</v>
      </c>
      <c r="P74">
        <v>8</v>
      </c>
      <c r="Q74" t="str">
        <f>IF(P74&gt;=7,"High",IF(P74&gt;=5,"Medium","Low"))</f>
        <v>High</v>
      </c>
    </row>
    <row r="75" spans="1:17" hidden="1" x14ac:dyDescent="0.3">
      <c r="A75">
        <v>75</v>
      </c>
      <c r="B75">
        <v>23</v>
      </c>
      <c r="C75" t="str">
        <f t="shared" si="15"/>
        <v>Young Adult</v>
      </c>
      <c r="D75" t="s">
        <v>21</v>
      </c>
      <c r="E75" t="s">
        <v>22</v>
      </c>
      <c r="F75" t="s">
        <v>159</v>
      </c>
      <c r="G75">
        <v>2.5</v>
      </c>
      <c r="H75" t="str">
        <f t="shared" si="16"/>
        <v>Low Use</v>
      </c>
      <c r="I75" t="s">
        <v>46</v>
      </c>
      <c r="J75" t="s">
        <v>26</v>
      </c>
      <c r="K75">
        <v>7.3</v>
      </c>
      <c r="L75" t="str">
        <f t="shared" si="17"/>
        <v>Sufficient Sleep</v>
      </c>
      <c r="M75">
        <v>8</v>
      </c>
      <c r="N75" t="str">
        <f t="shared" si="18"/>
        <v>Sever</v>
      </c>
      <c r="O75" t="s">
        <v>20</v>
      </c>
      <c r="Q75">
        <v>4</v>
      </c>
    </row>
    <row r="76" spans="1:17" hidden="1" x14ac:dyDescent="0.3">
      <c r="A76">
        <v>76</v>
      </c>
      <c r="B76">
        <v>21</v>
      </c>
      <c r="C76" t="str">
        <f t="shared" si="15"/>
        <v>Young Adult</v>
      </c>
      <c r="D76" t="s">
        <v>13</v>
      </c>
      <c r="E76" t="s">
        <v>14</v>
      </c>
      <c r="F76" t="s">
        <v>160</v>
      </c>
      <c r="G76">
        <v>4.5999999999999996</v>
      </c>
      <c r="H76" t="str">
        <f t="shared" si="16"/>
        <v>Moderate Use</v>
      </c>
      <c r="I76" t="s">
        <v>50</v>
      </c>
      <c r="J76" t="s">
        <v>18</v>
      </c>
      <c r="K76">
        <v>5.8</v>
      </c>
      <c r="L76" t="str">
        <f t="shared" si="17"/>
        <v>Severly Deficient Sleep</v>
      </c>
      <c r="M76">
        <v>6</v>
      </c>
      <c r="N76" t="str">
        <f t="shared" si="18"/>
        <v>Moderate</v>
      </c>
      <c r="O76" t="s">
        <v>28</v>
      </c>
      <c r="Q76">
        <v>7</v>
      </c>
    </row>
    <row r="77" spans="1:17" hidden="1" x14ac:dyDescent="0.3">
      <c r="A77">
        <v>77</v>
      </c>
      <c r="B77">
        <v>19</v>
      </c>
      <c r="C77" t="str">
        <f t="shared" si="15"/>
        <v>Teenager</v>
      </c>
      <c r="D77" t="s">
        <v>21</v>
      </c>
      <c r="E77" t="s">
        <v>34</v>
      </c>
      <c r="F77" t="s">
        <v>161</v>
      </c>
      <c r="G77">
        <v>5.5</v>
      </c>
      <c r="H77" t="str">
        <f t="shared" si="16"/>
        <v>Moderate Use</v>
      </c>
      <c r="I77" t="s">
        <v>31</v>
      </c>
      <c r="J77" t="s">
        <v>18</v>
      </c>
      <c r="K77">
        <v>5.4</v>
      </c>
      <c r="L77" t="str">
        <f t="shared" si="17"/>
        <v>Severly Deficient Sleep</v>
      </c>
      <c r="M77">
        <v>5</v>
      </c>
      <c r="N77" t="str">
        <f t="shared" si="18"/>
        <v>Moderate</v>
      </c>
      <c r="O77" t="s">
        <v>33</v>
      </c>
      <c r="Q77">
        <v>8</v>
      </c>
    </row>
    <row r="78" spans="1:17" hidden="1" x14ac:dyDescent="0.3">
      <c r="A78">
        <v>78</v>
      </c>
      <c r="B78">
        <v>22</v>
      </c>
      <c r="C78" t="str">
        <f t="shared" si="15"/>
        <v>Young Adult</v>
      </c>
      <c r="D78" t="s">
        <v>13</v>
      </c>
      <c r="E78" t="s">
        <v>22</v>
      </c>
      <c r="F78" t="s">
        <v>162</v>
      </c>
      <c r="G78">
        <v>2.9</v>
      </c>
      <c r="H78" t="str">
        <f t="shared" si="16"/>
        <v>Low Use</v>
      </c>
      <c r="I78" t="s">
        <v>41</v>
      </c>
      <c r="J78" t="s">
        <v>26</v>
      </c>
      <c r="K78">
        <v>7</v>
      </c>
      <c r="L78" t="str">
        <f t="shared" si="17"/>
        <v>Sufficient Sleep</v>
      </c>
      <c r="M78">
        <v>7</v>
      </c>
      <c r="N78" t="str">
        <f t="shared" si="18"/>
        <v>Sever</v>
      </c>
      <c r="O78" t="s">
        <v>20</v>
      </c>
      <c r="P78">
        <v>5</v>
      </c>
      <c r="Q78" t="str">
        <f t="shared" ref="Q78:Q79" si="19">IF(P78&gt;=7,"High",IF(P78&gt;=5,"Medium","Low"))</f>
        <v>Medium</v>
      </c>
    </row>
    <row r="79" spans="1:17" hidden="1" x14ac:dyDescent="0.3">
      <c r="A79">
        <v>79</v>
      </c>
      <c r="B79">
        <v>20</v>
      </c>
      <c r="C79" t="str">
        <f t="shared" si="15"/>
        <v>Young Adult</v>
      </c>
      <c r="D79" t="s">
        <v>21</v>
      </c>
      <c r="E79" t="s">
        <v>14</v>
      </c>
      <c r="F79" t="s">
        <v>164</v>
      </c>
      <c r="G79">
        <v>4.7</v>
      </c>
      <c r="H79" t="str">
        <f t="shared" si="16"/>
        <v>Moderate Use</v>
      </c>
      <c r="I79" t="s">
        <v>37</v>
      </c>
      <c r="J79" t="s">
        <v>18</v>
      </c>
      <c r="K79">
        <v>5.9</v>
      </c>
      <c r="L79" t="str">
        <f t="shared" si="17"/>
        <v>Severly Deficient Sleep</v>
      </c>
      <c r="M79">
        <v>6</v>
      </c>
      <c r="N79" t="str">
        <f t="shared" si="18"/>
        <v>Moderate</v>
      </c>
      <c r="O79" t="s">
        <v>28</v>
      </c>
      <c r="P79">
        <v>7</v>
      </c>
      <c r="Q79" t="str">
        <f t="shared" si="19"/>
        <v>High</v>
      </c>
    </row>
    <row r="80" spans="1:17" hidden="1" x14ac:dyDescent="0.3">
      <c r="A80">
        <v>80</v>
      </c>
      <c r="B80">
        <v>18</v>
      </c>
      <c r="C80" t="str">
        <f t="shared" si="15"/>
        <v>Teenager</v>
      </c>
      <c r="D80" t="s">
        <v>13</v>
      </c>
      <c r="E80" t="s">
        <v>34</v>
      </c>
      <c r="F80" t="s">
        <v>165</v>
      </c>
      <c r="G80">
        <v>5.9</v>
      </c>
      <c r="H80" t="str">
        <f t="shared" si="16"/>
        <v>Moderate Use</v>
      </c>
      <c r="I80" t="s">
        <v>17</v>
      </c>
      <c r="J80" t="s">
        <v>18</v>
      </c>
      <c r="K80">
        <v>5.2</v>
      </c>
      <c r="L80" t="str">
        <f t="shared" si="17"/>
        <v>Severly Deficient Sleep</v>
      </c>
      <c r="M80">
        <v>5</v>
      </c>
      <c r="N80" t="str">
        <f t="shared" si="18"/>
        <v>Moderate</v>
      </c>
      <c r="O80" t="s">
        <v>33</v>
      </c>
      <c r="Q80">
        <v>9</v>
      </c>
    </row>
    <row r="81" spans="1:17" hidden="1" x14ac:dyDescent="0.3">
      <c r="A81">
        <v>81</v>
      </c>
      <c r="B81">
        <v>21</v>
      </c>
      <c r="C81" t="str">
        <f t="shared" si="15"/>
        <v>Young Adult</v>
      </c>
      <c r="D81" t="s">
        <v>21</v>
      </c>
      <c r="E81" t="s">
        <v>22</v>
      </c>
      <c r="F81" t="s">
        <v>166</v>
      </c>
      <c r="G81">
        <v>3</v>
      </c>
      <c r="H81" t="str">
        <f t="shared" si="16"/>
        <v>Low Use</v>
      </c>
      <c r="I81" t="s">
        <v>46</v>
      </c>
      <c r="J81" t="s">
        <v>26</v>
      </c>
      <c r="K81">
        <v>7.1</v>
      </c>
      <c r="L81" t="str">
        <f t="shared" si="17"/>
        <v>Sufficient Sleep</v>
      </c>
      <c r="M81">
        <v>8</v>
      </c>
      <c r="N81" t="str">
        <f t="shared" si="18"/>
        <v>Sever</v>
      </c>
      <c r="O81" t="s">
        <v>20</v>
      </c>
      <c r="Q81">
        <v>4</v>
      </c>
    </row>
    <row r="82" spans="1:17" hidden="1" x14ac:dyDescent="0.3">
      <c r="A82">
        <v>82</v>
      </c>
      <c r="B82">
        <v>19</v>
      </c>
      <c r="C82" t="str">
        <f t="shared" si="15"/>
        <v>Teenager</v>
      </c>
      <c r="D82" t="s">
        <v>13</v>
      </c>
      <c r="E82" t="s">
        <v>14</v>
      </c>
      <c r="F82" t="s">
        <v>167</v>
      </c>
      <c r="G82">
        <v>4.8</v>
      </c>
      <c r="H82" t="str">
        <f t="shared" si="16"/>
        <v>Moderate Use</v>
      </c>
      <c r="I82" t="s">
        <v>31</v>
      </c>
      <c r="J82" t="s">
        <v>18</v>
      </c>
      <c r="K82">
        <v>5.7</v>
      </c>
      <c r="L82" t="str">
        <f t="shared" si="17"/>
        <v>Severly Deficient Sleep</v>
      </c>
      <c r="M82">
        <v>6</v>
      </c>
      <c r="N82" t="str">
        <f t="shared" si="18"/>
        <v>Moderate</v>
      </c>
      <c r="O82" t="s">
        <v>28</v>
      </c>
      <c r="P82">
        <v>7</v>
      </c>
      <c r="Q82" t="str">
        <f>IF(P82&gt;=7,"High",IF(P82&gt;=5,"Medium","Low"))</f>
        <v>High</v>
      </c>
    </row>
    <row r="83" spans="1:17" hidden="1" x14ac:dyDescent="0.3">
      <c r="A83">
        <v>83</v>
      </c>
      <c r="B83">
        <v>20</v>
      </c>
      <c r="C83" t="str">
        <f t="shared" si="15"/>
        <v>Young Adult</v>
      </c>
      <c r="D83" t="s">
        <v>21</v>
      </c>
      <c r="E83" t="s">
        <v>14</v>
      </c>
      <c r="F83" t="s">
        <v>168</v>
      </c>
      <c r="G83">
        <v>3.8</v>
      </c>
      <c r="H83" t="str">
        <f t="shared" si="16"/>
        <v>Low Use</v>
      </c>
      <c r="I83" t="s">
        <v>41</v>
      </c>
      <c r="J83" t="s">
        <v>26</v>
      </c>
      <c r="K83">
        <v>6.6</v>
      </c>
      <c r="L83" t="str">
        <f t="shared" si="17"/>
        <v>Severly Deficient Sleep</v>
      </c>
      <c r="M83">
        <v>7</v>
      </c>
      <c r="N83" t="str">
        <f t="shared" si="18"/>
        <v>Sever</v>
      </c>
      <c r="O83" t="s">
        <v>33</v>
      </c>
      <c r="Q83">
        <v>6</v>
      </c>
    </row>
    <row r="84" spans="1:17" hidden="1" x14ac:dyDescent="0.3">
      <c r="A84">
        <v>84</v>
      </c>
      <c r="B84">
        <v>22</v>
      </c>
      <c r="C84" t="str">
        <f t="shared" si="15"/>
        <v>Young Adult</v>
      </c>
      <c r="D84" t="s">
        <v>13</v>
      </c>
      <c r="E84" t="s">
        <v>22</v>
      </c>
      <c r="F84" t="s">
        <v>169</v>
      </c>
      <c r="G84">
        <v>2.7</v>
      </c>
      <c r="H84" t="str">
        <f t="shared" si="16"/>
        <v>Low Use</v>
      </c>
      <c r="I84" t="s">
        <v>46</v>
      </c>
      <c r="J84" t="s">
        <v>26</v>
      </c>
      <c r="K84">
        <v>7.2</v>
      </c>
      <c r="L84" t="str">
        <f t="shared" si="17"/>
        <v>Sufficient Sleep</v>
      </c>
      <c r="M84">
        <v>8</v>
      </c>
      <c r="N84" t="str">
        <f t="shared" si="18"/>
        <v>Sever</v>
      </c>
      <c r="O84" t="s">
        <v>20</v>
      </c>
      <c r="Q84">
        <v>4</v>
      </c>
    </row>
    <row r="85" spans="1:17" hidden="1" x14ac:dyDescent="0.3">
      <c r="A85">
        <v>85</v>
      </c>
      <c r="B85">
        <v>18</v>
      </c>
      <c r="C85" t="str">
        <f t="shared" si="15"/>
        <v>Teenager</v>
      </c>
      <c r="D85" t="s">
        <v>21</v>
      </c>
      <c r="E85" t="s">
        <v>34</v>
      </c>
      <c r="F85" t="s">
        <v>170</v>
      </c>
      <c r="G85">
        <v>5.6</v>
      </c>
      <c r="H85" t="str">
        <f t="shared" si="16"/>
        <v>Moderate Use</v>
      </c>
      <c r="I85" t="s">
        <v>50</v>
      </c>
      <c r="J85" t="s">
        <v>18</v>
      </c>
      <c r="K85">
        <v>5.3</v>
      </c>
      <c r="L85" t="str">
        <f t="shared" si="17"/>
        <v>Severly Deficient Sleep</v>
      </c>
      <c r="M85">
        <v>5</v>
      </c>
      <c r="N85" t="str">
        <f t="shared" si="18"/>
        <v>Moderate</v>
      </c>
      <c r="O85" t="s">
        <v>28</v>
      </c>
      <c r="Q85">
        <v>8</v>
      </c>
    </row>
    <row r="86" spans="1:17" hidden="1" x14ac:dyDescent="0.3">
      <c r="A86">
        <v>86</v>
      </c>
      <c r="B86">
        <v>21</v>
      </c>
      <c r="C86" t="str">
        <f t="shared" si="15"/>
        <v>Young Adult</v>
      </c>
      <c r="D86" t="s">
        <v>13</v>
      </c>
      <c r="E86" t="s">
        <v>14</v>
      </c>
      <c r="F86" t="s">
        <v>171</v>
      </c>
      <c r="G86">
        <v>4.5</v>
      </c>
      <c r="H86" t="str">
        <f t="shared" si="16"/>
        <v>Moderate Use</v>
      </c>
      <c r="I86" t="s">
        <v>17</v>
      </c>
      <c r="J86" t="s">
        <v>18</v>
      </c>
      <c r="K86">
        <v>5.8</v>
      </c>
      <c r="L86" t="str">
        <f t="shared" si="17"/>
        <v>Severly Deficient Sleep</v>
      </c>
      <c r="M86">
        <v>6</v>
      </c>
      <c r="N86" t="str">
        <f t="shared" si="18"/>
        <v>Moderate</v>
      </c>
      <c r="O86" t="s">
        <v>33</v>
      </c>
      <c r="Q86">
        <v>7</v>
      </c>
    </row>
    <row r="87" spans="1:17" hidden="1" x14ac:dyDescent="0.3">
      <c r="A87">
        <v>87</v>
      </c>
      <c r="B87">
        <v>19</v>
      </c>
      <c r="C87" t="str">
        <f t="shared" si="15"/>
        <v>Teenager</v>
      </c>
      <c r="D87" t="s">
        <v>21</v>
      </c>
      <c r="E87" t="s">
        <v>34</v>
      </c>
      <c r="F87" t="s">
        <v>172</v>
      </c>
      <c r="G87">
        <v>5.3</v>
      </c>
      <c r="H87" t="str">
        <f t="shared" si="16"/>
        <v>Moderate Use</v>
      </c>
      <c r="I87" t="s">
        <v>31</v>
      </c>
      <c r="J87" t="s">
        <v>18</v>
      </c>
      <c r="K87">
        <v>5.5</v>
      </c>
      <c r="L87" t="str">
        <f t="shared" si="17"/>
        <v>Severly Deficient Sleep</v>
      </c>
      <c r="M87">
        <v>5</v>
      </c>
      <c r="N87" t="str">
        <f t="shared" si="18"/>
        <v>Moderate</v>
      </c>
      <c r="O87" t="s">
        <v>20</v>
      </c>
      <c r="P87">
        <v>8</v>
      </c>
      <c r="Q87" t="str">
        <f>IF(P87&gt;=7,"High",IF(P87&gt;=5,"Medium","Low"))</f>
        <v>High</v>
      </c>
    </row>
    <row r="88" spans="1:17" hidden="1" x14ac:dyDescent="0.3">
      <c r="A88">
        <v>88</v>
      </c>
      <c r="B88">
        <v>23</v>
      </c>
      <c r="C88" t="str">
        <f t="shared" si="15"/>
        <v>Young Adult</v>
      </c>
      <c r="D88" t="s">
        <v>13</v>
      </c>
      <c r="E88" t="s">
        <v>22</v>
      </c>
      <c r="F88" t="s">
        <v>173</v>
      </c>
      <c r="G88">
        <v>2.6</v>
      </c>
      <c r="H88" t="str">
        <f t="shared" si="16"/>
        <v>Low Use</v>
      </c>
      <c r="I88" t="s">
        <v>46</v>
      </c>
      <c r="J88" t="s">
        <v>26</v>
      </c>
      <c r="K88">
        <v>7.3</v>
      </c>
      <c r="L88" t="str">
        <f t="shared" si="17"/>
        <v>Sufficient Sleep</v>
      </c>
      <c r="M88">
        <v>8</v>
      </c>
      <c r="N88" t="str">
        <f t="shared" si="18"/>
        <v>Sever</v>
      </c>
      <c r="O88" t="s">
        <v>28</v>
      </c>
      <c r="Q88">
        <v>4</v>
      </c>
    </row>
    <row r="89" spans="1:17" hidden="1" x14ac:dyDescent="0.3">
      <c r="A89">
        <v>89</v>
      </c>
      <c r="B89">
        <v>20</v>
      </c>
      <c r="C89" t="str">
        <f t="shared" si="15"/>
        <v>Young Adult</v>
      </c>
      <c r="D89" t="s">
        <v>21</v>
      </c>
      <c r="E89" t="s">
        <v>14</v>
      </c>
      <c r="F89" t="s">
        <v>174</v>
      </c>
      <c r="G89">
        <v>4.4000000000000004</v>
      </c>
      <c r="H89" t="str">
        <f t="shared" si="16"/>
        <v>Moderate Use</v>
      </c>
      <c r="I89" t="s">
        <v>37</v>
      </c>
      <c r="J89" t="s">
        <v>18</v>
      </c>
      <c r="K89">
        <v>6</v>
      </c>
      <c r="L89" t="str">
        <f t="shared" si="17"/>
        <v>Severly Deficient Sleep</v>
      </c>
      <c r="M89">
        <v>6</v>
      </c>
      <c r="N89" t="str">
        <f t="shared" si="18"/>
        <v>Moderate</v>
      </c>
      <c r="O89" t="s">
        <v>33</v>
      </c>
      <c r="Q89">
        <v>7</v>
      </c>
    </row>
    <row r="90" spans="1:17" hidden="1" x14ac:dyDescent="0.3">
      <c r="A90">
        <v>90</v>
      </c>
      <c r="B90">
        <v>18</v>
      </c>
      <c r="C90" t="str">
        <f t="shared" si="15"/>
        <v>Teenager</v>
      </c>
      <c r="D90" t="s">
        <v>13</v>
      </c>
      <c r="E90" t="s">
        <v>34</v>
      </c>
      <c r="F90" t="s">
        <v>175</v>
      </c>
      <c r="G90">
        <v>5.8</v>
      </c>
      <c r="H90" t="str">
        <f t="shared" si="16"/>
        <v>Moderate Use</v>
      </c>
      <c r="I90" t="s">
        <v>17</v>
      </c>
      <c r="J90" t="s">
        <v>18</v>
      </c>
      <c r="K90">
        <v>5.2</v>
      </c>
      <c r="L90" t="str">
        <f t="shared" si="17"/>
        <v>Severly Deficient Sleep</v>
      </c>
      <c r="M90">
        <v>5</v>
      </c>
      <c r="N90" t="str">
        <f t="shared" si="18"/>
        <v>Moderate</v>
      </c>
      <c r="O90" t="s">
        <v>28</v>
      </c>
      <c r="P90">
        <v>9</v>
      </c>
      <c r="Q90" t="str">
        <f t="shared" ref="Q90:Q91" si="20">IF(P90&gt;=7,"High",IF(P90&gt;=5,"Medium","Low"))</f>
        <v>High</v>
      </c>
    </row>
    <row r="91" spans="1:17" hidden="1" x14ac:dyDescent="0.3">
      <c r="A91">
        <v>91</v>
      </c>
      <c r="B91">
        <v>22</v>
      </c>
      <c r="C91" t="str">
        <f t="shared" si="15"/>
        <v>Young Adult</v>
      </c>
      <c r="D91" t="s">
        <v>21</v>
      </c>
      <c r="E91" t="s">
        <v>22</v>
      </c>
      <c r="F91" t="s">
        <v>176</v>
      </c>
      <c r="G91">
        <v>2.9</v>
      </c>
      <c r="H91" t="str">
        <f t="shared" si="16"/>
        <v>Low Use</v>
      </c>
      <c r="I91" t="s">
        <v>41</v>
      </c>
      <c r="J91" t="s">
        <v>26</v>
      </c>
      <c r="K91">
        <v>7</v>
      </c>
      <c r="L91" t="str">
        <f t="shared" si="17"/>
        <v>Sufficient Sleep</v>
      </c>
      <c r="M91">
        <v>7</v>
      </c>
      <c r="N91" t="str">
        <f t="shared" si="18"/>
        <v>Sever</v>
      </c>
      <c r="O91" t="s">
        <v>20</v>
      </c>
      <c r="P91">
        <v>5</v>
      </c>
      <c r="Q91" t="str">
        <f t="shared" si="20"/>
        <v>Medium</v>
      </c>
    </row>
    <row r="92" spans="1:17" hidden="1" x14ac:dyDescent="0.3">
      <c r="A92">
        <v>92</v>
      </c>
      <c r="B92">
        <v>19</v>
      </c>
      <c r="C92" t="str">
        <f t="shared" si="15"/>
        <v>Teenager</v>
      </c>
      <c r="D92" t="s">
        <v>13</v>
      </c>
      <c r="E92" t="s">
        <v>14</v>
      </c>
      <c r="F92" t="s">
        <v>177</v>
      </c>
      <c r="G92">
        <v>4.7</v>
      </c>
      <c r="H92" t="str">
        <f t="shared" si="16"/>
        <v>Moderate Use</v>
      </c>
      <c r="I92" t="s">
        <v>31</v>
      </c>
      <c r="J92" t="s">
        <v>18</v>
      </c>
      <c r="K92">
        <v>5.8</v>
      </c>
      <c r="L92" t="str">
        <f t="shared" si="17"/>
        <v>Severly Deficient Sleep</v>
      </c>
      <c r="M92">
        <v>6</v>
      </c>
      <c r="N92" t="str">
        <f t="shared" si="18"/>
        <v>Moderate</v>
      </c>
      <c r="O92" t="s">
        <v>33</v>
      </c>
      <c r="Q92">
        <v>7</v>
      </c>
    </row>
    <row r="93" spans="1:17" hidden="1" x14ac:dyDescent="0.3">
      <c r="A93">
        <v>93</v>
      </c>
      <c r="B93">
        <v>21</v>
      </c>
      <c r="C93" t="str">
        <f t="shared" si="15"/>
        <v>Young Adult</v>
      </c>
      <c r="D93" t="s">
        <v>21</v>
      </c>
      <c r="E93" t="s">
        <v>14</v>
      </c>
      <c r="F93" t="s">
        <v>178</v>
      </c>
      <c r="G93">
        <v>3.7</v>
      </c>
      <c r="H93" t="str">
        <f t="shared" si="16"/>
        <v>Low Use</v>
      </c>
      <c r="I93" t="s">
        <v>50</v>
      </c>
      <c r="J93" t="s">
        <v>26</v>
      </c>
      <c r="K93">
        <v>6.5</v>
      </c>
      <c r="L93" t="str">
        <f t="shared" si="17"/>
        <v>Severly Deficient Sleep</v>
      </c>
      <c r="M93">
        <v>7</v>
      </c>
      <c r="N93" t="str">
        <f t="shared" si="18"/>
        <v>Sever</v>
      </c>
      <c r="O93" t="s">
        <v>28</v>
      </c>
      <c r="Q93">
        <v>6</v>
      </c>
    </row>
    <row r="94" spans="1:17" hidden="1" x14ac:dyDescent="0.3">
      <c r="A94">
        <v>94</v>
      </c>
      <c r="B94">
        <v>20</v>
      </c>
      <c r="C94" t="str">
        <f t="shared" si="15"/>
        <v>Young Adult</v>
      </c>
      <c r="D94" t="s">
        <v>13</v>
      </c>
      <c r="E94" t="s">
        <v>34</v>
      </c>
      <c r="F94" t="s">
        <v>179</v>
      </c>
      <c r="G94">
        <v>5.5</v>
      </c>
      <c r="H94" t="str">
        <f t="shared" si="16"/>
        <v>Moderate Use</v>
      </c>
      <c r="I94" t="s">
        <v>17</v>
      </c>
      <c r="J94" t="s">
        <v>18</v>
      </c>
      <c r="K94">
        <v>5.4</v>
      </c>
      <c r="L94" t="str">
        <f t="shared" si="17"/>
        <v>Severly Deficient Sleep</v>
      </c>
      <c r="M94">
        <v>5</v>
      </c>
      <c r="N94" t="str">
        <f t="shared" si="18"/>
        <v>Moderate</v>
      </c>
      <c r="O94" t="s">
        <v>20</v>
      </c>
      <c r="P94">
        <v>8</v>
      </c>
      <c r="Q94" t="str">
        <f>IF(P94&gt;=7,"High",IF(P94&gt;=5,"Medium","Low"))</f>
        <v>High</v>
      </c>
    </row>
    <row r="95" spans="1:17" hidden="1" x14ac:dyDescent="0.3">
      <c r="A95">
        <v>95</v>
      </c>
      <c r="B95">
        <v>23</v>
      </c>
      <c r="C95" t="str">
        <f t="shared" si="15"/>
        <v>Young Adult</v>
      </c>
      <c r="D95" t="s">
        <v>21</v>
      </c>
      <c r="E95" t="s">
        <v>22</v>
      </c>
      <c r="F95" t="s">
        <v>180</v>
      </c>
      <c r="G95">
        <v>2.4</v>
      </c>
      <c r="H95" t="str">
        <f t="shared" si="16"/>
        <v>Low Use</v>
      </c>
      <c r="I95" t="s">
        <v>46</v>
      </c>
      <c r="J95" t="s">
        <v>26</v>
      </c>
      <c r="K95">
        <v>7.4</v>
      </c>
      <c r="L95" t="str">
        <f t="shared" si="17"/>
        <v>Sufficient Sleep</v>
      </c>
      <c r="M95">
        <v>8</v>
      </c>
      <c r="N95" t="str">
        <f t="shared" si="18"/>
        <v>Sever</v>
      </c>
      <c r="O95" t="s">
        <v>33</v>
      </c>
      <c r="Q95">
        <v>4</v>
      </c>
    </row>
    <row r="96" spans="1:17" hidden="1" x14ac:dyDescent="0.3">
      <c r="A96">
        <v>96</v>
      </c>
      <c r="B96">
        <v>19</v>
      </c>
      <c r="C96" t="str">
        <f t="shared" si="15"/>
        <v>Teenager</v>
      </c>
      <c r="D96" t="s">
        <v>13</v>
      </c>
      <c r="E96" t="s">
        <v>14</v>
      </c>
      <c r="F96" t="s">
        <v>181</v>
      </c>
      <c r="G96">
        <v>4.9000000000000004</v>
      </c>
      <c r="H96" t="str">
        <f t="shared" si="16"/>
        <v>Moderate Use</v>
      </c>
      <c r="I96" t="s">
        <v>31</v>
      </c>
      <c r="J96" t="s">
        <v>18</v>
      </c>
      <c r="K96">
        <v>5.7</v>
      </c>
      <c r="L96" t="str">
        <f t="shared" si="17"/>
        <v>Severly Deficient Sleep</v>
      </c>
      <c r="M96">
        <v>6</v>
      </c>
      <c r="N96" t="str">
        <f t="shared" si="18"/>
        <v>Moderate</v>
      </c>
      <c r="O96" t="s">
        <v>28</v>
      </c>
      <c r="P96">
        <v>7</v>
      </c>
      <c r="Q96" t="str">
        <f>IF(P96&gt;=7,"High",IF(P96&gt;=5,"Medium","Low"))</f>
        <v>High</v>
      </c>
    </row>
    <row r="97" spans="1:17" hidden="1" x14ac:dyDescent="0.3">
      <c r="A97">
        <v>97</v>
      </c>
      <c r="B97">
        <v>18</v>
      </c>
      <c r="C97" t="str">
        <f t="shared" si="15"/>
        <v>Teenager</v>
      </c>
      <c r="D97" t="s">
        <v>21</v>
      </c>
      <c r="E97" t="s">
        <v>34</v>
      </c>
      <c r="F97" t="s">
        <v>182</v>
      </c>
      <c r="G97">
        <v>5.7</v>
      </c>
      <c r="H97" t="str">
        <f t="shared" si="16"/>
        <v>Moderate Use</v>
      </c>
      <c r="I97" t="s">
        <v>50</v>
      </c>
      <c r="J97" t="s">
        <v>18</v>
      </c>
      <c r="K97">
        <v>5.3</v>
      </c>
      <c r="L97" t="str">
        <f t="shared" si="17"/>
        <v>Severly Deficient Sleep</v>
      </c>
      <c r="M97">
        <v>5</v>
      </c>
      <c r="N97" t="str">
        <f t="shared" si="18"/>
        <v>Moderate</v>
      </c>
      <c r="O97" t="s">
        <v>20</v>
      </c>
      <c r="Q97">
        <v>8</v>
      </c>
    </row>
    <row r="98" spans="1:17" hidden="1" x14ac:dyDescent="0.3">
      <c r="A98">
        <v>98</v>
      </c>
      <c r="B98">
        <v>22</v>
      </c>
      <c r="C98" t="str">
        <f t="shared" si="15"/>
        <v>Young Adult</v>
      </c>
      <c r="D98" t="s">
        <v>13</v>
      </c>
      <c r="E98" t="s">
        <v>22</v>
      </c>
      <c r="F98" t="s">
        <v>183</v>
      </c>
      <c r="G98">
        <v>2.8</v>
      </c>
      <c r="H98" t="str">
        <f t="shared" si="16"/>
        <v>Low Use</v>
      </c>
      <c r="I98" t="s">
        <v>46</v>
      </c>
      <c r="J98" t="s">
        <v>26</v>
      </c>
      <c r="K98">
        <v>7.1</v>
      </c>
      <c r="L98" t="str">
        <f t="shared" si="17"/>
        <v>Sufficient Sleep</v>
      </c>
      <c r="M98">
        <v>8</v>
      </c>
      <c r="N98" t="str">
        <f t="shared" si="18"/>
        <v>Sever</v>
      </c>
      <c r="O98" t="s">
        <v>33</v>
      </c>
      <c r="Q98">
        <v>4</v>
      </c>
    </row>
    <row r="99" spans="1:17" hidden="1" x14ac:dyDescent="0.3">
      <c r="A99">
        <v>99</v>
      </c>
      <c r="B99">
        <v>20</v>
      </c>
      <c r="C99" t="str">
        <f t="shared" si="15"/>
        <v>Young Adult</v>
      </c>
      <c r="D99" t="s">
        <v>21</v>
      </c>
      <c r="E99" t="s">
        <v>14</v>
      </c>
      <c r="F99" t="s">
        <v>184</v>
      </c>
      <c r="G99">
        <v>4.5999999999999996</v>
      </c>
      <c r="H99" t="str">
        <f t="shared" si="16"/>
        <v>Moderate Use</v>
      </c>
      <c r="I99" t="s">
        <v>17</v>
      </c>
      <c r="J99" t="s">
        <v>18</v>
      </c>
      <c r="K99">
        <v>5.9</v>
      </c>
      <c r="L99" t="str">
        <f t="shared" si="17"/>
        <v>Severly Deficient Sleep</v>
      </c>
      <c r="M99">
        <v>6</v>
      </c>
      <c r="N99" t="str">
        <f t="shared" si="18"/>
        <v>Moderate</v>
      </c>
      <c r="O99" t="s">
        <v>28</v>
      </c>
      <c r="P99">
        <v>7</v>
      </c>
      <c r="Q99" t="str">
        <f t="shared" ref="Q99:Q100" si="21">IF(P99&gt;=7,"High",IF(P99&gt;=5,"Medium","Low"))</f>
        <v>High</v>
      </c>
    </row>
    <row r="100" spans="1:17" hidden="1" x14ac:dyDescent="0.3">
      <c r="A100">
        <v>100</v>
      </c>
      <c r="B100">
        <v>21</v>
      </c>
      <c r="C100" t="str">
        <f t="shared" si="15"/>
        <v>Young Adult</v>
      </c>
      <c r="D100" t="s">
        <v>13</v>
      </c>
      <c r="E100" t="s">
        <v>14</v>
      </c>
      <c r="F100" t="s">
        <v>185</v>
      </c>
      <c r="G100">
        <v>5.4</v>
      </c>
      <c r="H100" t="str">
        <f t="shared" si="16"/>
        <v>Moderate Use</v>
      </c>
      <c r="I100" t="s">
        <v>31</v>
      </c>
      <c r="J100" t="s">
        <v>18</v>
      </c>
      <c r="K100">
        <v>5.5</v>
      </c>
      <c r="L100" t="str">
        <f t="shared" si="17"/>
        <v>Severly Deficient Sleep</v>
      </c>
      <c r="M100">
        <v>5</v>
      </c>
      <c r="N100" t="str">
        <f t="shared" si="18"/>
        <v>Moderate</v>
      </c>
      <c r="O100" t="s">
        <v>20</v>
      </c>
      <c r="P100">
        <v>8</v>
      </c>
      <c r="Q100" t="str">
        <f t="shared" si="21"/>
        <v>High</v>
      </c>
    </row>
    <row r="101" spans="1:17" hidden="1" x14ac:dyDescent="0.3">
      <c r="A101">
        <v>101</v>
      </c>
      <c r="B101">
        <v>19</v>
      </c>
      <c r="C101" t="str">
        <f t="shared" si="15"/>
        <v>Teenager</v>
      </c>
      <c r="D101" t="s">
        <v>21</v>
      </c>
      <c r="E101" t="s">
        <v>34</v>
      </c>
      <c r="F101" t="s">
        <v>186</v>
      </c>
      <c r="G101">
        <v>5.8</v>
      </c>
      <c r="H101" t="str">
        <f t="shared" si="16"/>
        <v>Moderate Use</v>
      </c>
      <c r="I101" t="s">
        <v>37</v>
      </c>
      <c r="J101" t="s">
        <v>18</v>
      </c>
      <c r="K101">
        <v>5.2</v>
      </c>
      <c r="L101" t="str">
        <f t="shared" si="17"/>
        <v>Severly Deficient Sleep</v>
      </c>
      <c r="M101">
        <v>5</v>
      </c>
      <c r="N101" t="str">
        <f t="shared" si="18"/>
        <v>Moderate</v>
      </c>
      <c r="O101" t="s">
        <v>33</v>
      </c>
      <c r="Q101">
        <v>9</v>
      </c>
    </row>
    <row r="102" spans="1:17" hidden="1" x14ac:dyDescent="0.3">
      <c r="A102">
        <v>102</v>
      </c>
      <c r="B102">
        <v>23</v>
      </c>
      <c r="C102" t="str">
        <f t="shared" si="15"/>
        <v>Young Adult</v>
      </c>
      <c r="D102" t="s">
        <v>13</v>
      </c>
      <c r="E102" t="s">
        <v>22</v>
      </c>
      <c r="F102" t="s">
        <v>187</v>
      </c>
      <c r="G102">
        <v>2.5</v>
      </c>
      <c r="H102" t="str">
        <f t="shared" si="16"/>
        <v>Low Use</v>
      </c>
      <c r="I102" t="s">
        <v>46</v>
      </c>
      <c r="J102" t="s">
        <v>26</v>
      </c>
      <c r="K102">
        <v>7.3</v>
      </c>
      <c r="L102" t="str">
        <f t="shared" si="17"/>
        <v>Sufficient Sleep</v>
      </c>
      <c r="M102">
        <v>8</v>
      </c>
      <c r="N102" t="str">
        <f t="shared" si="18"/>
        <v>Sever</v>
      </c>
      <c r="O102" t="s">
        <v>28</v>
      </c>
      <c r="Q102">
        <v>4</v>
      </c>
    </row>
    <row r="103" spans="1:17" hidden="1" x14ac:dyDescent="0.3">
      <c r="A103">
        <v>103</v>
      </c>
      <c r="B103">
        <v>20</v>
      </c>
      <c r="C103" t="str">
        <f t="shared" si="15"/>
        <v>Young Adult</v>
      </c>
      <c r="D103" t="s">
        <v>21</v>
      </c>
      <c r="E103" t="s">
        <v>14</v>
      </c>
      <c r="F103" t="s">
        <v>188</v>
      </c>
      <c r="G103">
        <v>4.7</v>
      </c>
      <c r="H103" t="str">
        <f t="shared" si="16"/>
        <v>Moderate Use</v>
      </c>
      <c r="I103" t="s">
        <v>41</v>
      </c>
      <c r="J103" t="s">
        <v>18</v>
      </c>
      <c r="K103">
        <v>5.8</v>
      </c>
      <c r="L103" t="str">
        <f t="shared" si="17"/>
        <v>Severly Deficient Sleep</v>
      </c>
      <c r="M103">
        <v>6</v>
      </c>
      <c r="N103" t="str">
        <f t="shared" si="18"/>
        <v>Moderate</v>
      </c>
      <c r="O103" t="s">
        <v>20</v>
      </c>
      <c r="P103">
        <v>7</v>
      </c>
      <c r="Q103" t="str">
        <f t="shared" ref="Q103:Q104" si="22">IF(P103&gt;=7,"High",IF(P103&gt;=5,"Medium","Low"))</f>
        <v>High</v>
      </c>
    </row>
    <row r="104" spans="1:17" hidden="1" x14ac:dyDescent="0.3">
      <c r="A104">
        <v>104</v>
      </c>
      <c r="B104">
        <v>18</v>
      </c>
      <c r="C104" t="str">
        <f t="shared" si="15"/>
        <v>Teenager</v>
      </c>
      <c r="D104" t="s">
        <v>13</v>
      </c>
      <c r="E104" t="s">
        <v>34</v>
      </c>
      <c r="F104" t="s">
        <v>189</v>
      </c>
      <c r="G104">
        <v>5.6</v>
      </c>
      <c r="H104" t="str">
        <f t="shared" si="16"/>
        <v>Moderate Use</v>
      </c>
      <c r="I104" t="s">
        <v>17</v>
      </c>
      <c r="J104" t="s">
        <v>18</v>
      </c>
      <c r="K104">
        <v>5.4</v>
      </c>
      <c r="L104" t="str">
        <f t="shared" si="17"/>
        <v>Severly Deficient Sleep</v>
      </c>
      <c r="M104">
        <v>5</v>
      </c>
      <c r="N104" t="str">
        <f t="shared" si="18"/>
        <v>Moderate</v>
      </c>
      <c r="O104" t="s">
        <v>28</v>
      </c>
      <c r="P104">
        <v>8</v>
      </c>
      <c r="Q104" t="str">
        <f t="shared" si="22"/>
        <v>High</v>
      </c>
    </row>
    <row r="105" spans="1:17" hidden="1" x14ac:dyDescent="0.3">
      <c r="A105">
        <v>105</v>
      </c>
      <c r="B105">
        <v>22</v>
      </c>
      <c r="C105" t="str">
        <f t="shared" si="15"/>
        <v>Young Adult</v>
      </c>
      <c r="D105" t="s">
        <v>21</v>
      </c>
      <c r="E105" t="s">
        <v>22</v>
      </c>
      <c r="F105" t="s">
        <v>190</v>
      </c>
      <c r="G105">
        <v>2.9</v>
      </c>
      <c r="H105" t="str">
        <f t="shared" si="16"/>
        <v>Low Use</v>
      </c>
      <c r="I105" t="s">
        <v>46</v>
      </c>
      <c r="J105" t="s">
        <v>26</v>
      </c>
      <c r="K105">
        <v>7</v>
      </c>
      <c r="L105" t="str">
        <f t="shared" si="17"/>
        <v>Sufficient Sleep</v>
      </c>
      <c r="M105">
        <v>7</v>
      </c>
      <c r="N105" t="str">
        <f t="shared" si="18"/>
        <v>Sever</v>
      </c>
      <c r="O105" t="s">
        <v>33</v>
      </c>
      <c r="Q105">
        <v>5</v>
      </c>
    </row>
    <row r="106" spans="1:17" hidden="1" x14ac:dyDescent="0.3">
      <c r="A106">
        <v>106</v>
      </c>
      <c r="B106">
        <v>19</v>
      </c>
      <c r="C106" t="str">
        <f t="shared" si="15"/>
        <v>Teenager</v>
      </c>
      <c r="D106" t="s">
        <v>13</v>
      </c>
      <c r="E106" t="s">
        <v>14</v>
      </c>
      <c r="F106" t="s">
        <v>191</v>
      </c>
      <c r="G106">
        <v>4.8</v>
      </c>
      <c r="H106" t="str">
        <f t="shared" si="16"/>
        <v>Moderate Use</v>
      </c>
      <c r="I106" t="s">
        <v>31</v>
      </c>
      <c r="J106" t="s">
        <v>18</v>
      </c>
      <c r="K106">
        <v>5.7</v>
      </c>
      <c r="L106" t="str">
        <f t="shared" si="17"/>
        <v>Severly Deficient Sleep</v>
      </c>
      <c r="M106">
        <v>6</v>
      </c>
      <c r="N106" t="str">
        <f t="shared" si="18"/>
        <v>Moderate</v>
      </c>
      <c r="O106" t="s">
        <v>20</v>
      </c>
      <c r="P106">
        <v>7</v>
      </c>
      <c r="Q106" t="str">
        <f t="shared" ref="Q106:Q107" si="23">IF(P106&gt;=7,"High",IF(P106&gt;=5,"Medium","Low"))</f>
        <v>High</v>
      </c>
    </row>
    <row r="107" spans="1:17" hidden="1" x14ac:dyDescent="0.3">
      <c r="A107">
        <v>107</v>
      </c>
      <c r="B107">
        <v>21</v>
      </c>
      <c r="C107" t="str">
        <f t="shared" si="15"/>
        <v>Young Adult</v>
      </c>
      <c r="D107" t="s">
        <v>21</v>
      </c>
      <c r="E107" t="s">
        <v>14</v>
      </c>
      <c r="F107" t="s">
        <v>192</v>
      </c>
      <c r="G107">
        <v>3.8</v>
      </c>
      <c r="H107" t="str">
        <f t="shared" si="16"/>
        <v>Low Use</v>
      </c>
      <c r="I107" t="s">
        <v>37</v>
      </c>
      <c r="J107" t="s">
        <v>26</v>
      </c>
      <c r="K107">
        <v>6.6</v>
      </c>
      <c r="L107" t="str">
        <f t="shared" si="17"/>
        <v>Severly Deficient Sleep</v>
      </c>
      <c r="M107">
        <v>7</v>
      </c>
      <c r="N107" t="str">
        <f t="shared" si="18"/>
        <v>Sever</v>
      </c>
      <c r="O107" t="s">
        <v>28</v>
      </c>
      <c r="P107">
        <v>6</v>
      </c>
      <c r="Q107" t="str">
        <f t="shared" si="23"/>
        <v>Medium</v>
      </c>
    </row>
    <row r="108" spans="1:17" hidden="1" x14ac:dyDescent="0.3">
      <c r="A108">
        <v>108</v>
      </c>
      <c r="B108">
        <v>20</v>
      </c>
      <c r="C108" t="str">
        <f t="shared" si="15"/>
        <v>Young Adult</v>
      </c>
      <c r="D108" t="s">
        <v>13</v>
      </c>
      <c r="E108" t="s">
        <v>34</v>
      </c>
      <c r="F108" t="s">
        <v>193</v>
      </c>
      <c r="G108">
        <v>5.5</v>
      </c>
      <c r="H108" t="str">
        <f t="shared" si="16"/>
        <v>Moderate Use</v>
      </c>
      <c r="I108" t="s">
        <v>50</v>
      </c>
      <c r="J108" t="s">
        <v>18</v>
      </c>
      <c r="K108">
        <v>5.5</v>
      </c>
      <c r="L108" t="str">
        <f t="shared" si="17"/>
        <v>Severly Deficient Sleep</v>
      </c>
      <c r="M108">
        <v>5</v>
      </c>
      <c r="N108" t="str">
        <f t="shared" si="18"/>
        <v>Moderate</v>
      </c>
      <c r="O108" t="s">
        <v>33</v>
      </c>
      <c r="Q108">
        <v>8</v>
      </c>
    </row>
    <row r="109" spans="1:17" hidden="1" x14ac:dyDescent="0.3">
      <c r="A109">
        <v>109</v>
      </c>
      <c r="B109">
        <v>23</v>
      </c>
      <c r="C109" t="str">
        <f t="shared" si="15"/>
        <v>Young Adult</v>
      </c>
      <c r="D109" t="s">
        <v>21</v>
      </c>
      <c r="E109" t="s">
        <v>22</v>
      </c>
      <c r="F109" t="s">
        <v>194</v>
      </c>
      <c r="G109">
        <v>2.6</v>
      </c>
      <c r="H109" t="str">
        <f t="shared" si="16"/>
        <v>Low Use</v>
      </c>
      <c r="I109" t="s">
        <v>46</v>
      </c>
      <c r="J109" t="s">
        <v>26</v>
      </c>
      <c r="K109">
        <v>7.2</v>
      </c>
      <c r="L109" t="str">
        <f t="shared" si="17"/>
        <v>Sufficient Sleep</v>
      </c>
      <c r="M109">
        <v>8</v>
      </c>
      <c r="N109" t="str">
        <f t="shared" si="18"/>
        <v>Sever</v>
      </c>
      <c r="O109" t="s">
        <v>20</v>
      </c>
      <c r="Q109">
        <v>4</v>
      </c>
    </row>
    <row r="110" spans="1:17" hidden="1" x14ac:dyDescent="0.3">
      <c r="A110">
        <v>110</v>
      </c>
      <c r="B110">
        <v>19</v>
      </c>
      <c r="C110" t="str">
        <f t="shared" si="15"/>
        <v>Teenager</v>
      </c>
      <c r="D110" t="s">
        <v>13</v>
      </c>
      <c r="E110" t="s">
        <v>14</v>
      </c>
      <c r="F110" t="s">
        <v>195</v>
      </c>
      <c r="G110">
        <v>4.9000000000000004</v>
      </c>
      <c r="H110" t="str">
        <f t="shared" si="16"/>
        <v>Moderate Use</v>
      </c>
      <c r="I110" t="s">
        <v>17</v>
      </c>
      <c r="J110" t="s">
        <v>18</v>
      </c>
      <c r="K110">
        <v>5.8</v>
      </c>
      <c r="L110" t="str">
        <f t="shared" si="17"/>
        <v>Severly Deficient Sleep</v>
      </c>
      <c r="M110">
        <v>6</v>
      </c>
      <c r="N110" t="str">
        <f t="shared" si="18"/>
        <v>Moderate</v>
      </c>
      <c r="O110" t="s">
        <v>28</v>
      </c>
      <c r="P110">
        <v>7</v>
      </c>
      <c r="Q110" t="str">
        <f t="shared" ref="Q110:Q173" si="24">IF(P110&gt;=7,"High",IF(P110&gt;=5,"Medium","Low"))</f>
        <v>High</v>
      </c>
    </row>
    <row r="111" spans="1:17" hidden="1" x14ac:dyDescent="0.3">
      <c r="A111">
        <v>111</v>
      </c>
      <c r="B111">
        <v>20</v>
      </c>
      <c r="C111" t="str">
        <f t="shared" si="15"/>
        <v>Young Adult</v>
      </c>
      <c r="D111" t="s">
        <v>21</v>
      </c>
      <c r="E111" t="s">
        <v>14</v>
      </c>
      <c r="F111" t="s">
        <v>15</v>
      </c>
      <c r="G111">
        <v>6.1</v>
      </c>
      <c r="H111" t="str">
        <f t="shared" si="16"/>
        <v>Heavy Use</v>
      </c>
      <c r="I111" t="s">
        <v>17</v>
      </c>
      <c r="J111" t="s">
        <v>18</v>
      </c>
      <c r="K111">
        <v>6.2</v>
      </c>
      <c r="L111" t="str">
        <f t="shared" si="17"/>
        <v>Severly Deficient Sleep</v>
      </c>
      <c r="M111">
        <v>5</v>
      </c>
      <c r="N111" t="str">
        <f t="shared" si="18"/>
        <v>Moderate</v>
      </c>
      <c r="O111" t="s">
        <v>28</v>
      </c>
      <c r="P111">
        <v>8</v>
      </c>
      <c r="Q111" t="str">
        <f t="shared" si="24"/>
        <v>High</v>
      </c>
    </row>
    <row r="112" spans="1:17" x14ac:dyDescent="0.3">
      <c r="A112">
        <v>112</v>
      </c>
      <c r="B112">
        <v>21</v>
      </c>
      <c r="C112" t="str">
        <f t="shared" si="15"/>
        <v>Young Adult</v>
      </c>
      <c r="D112" t="s">
        <v>13</v>
      </c>
      <c r="E112" t="s">
        <v>14</v>
      </c>
      <c r="F112" t="s">
        <v>23</v>
      </c>
      <c r="G112">
        <v>5.8</v>
      </c>
      <c r="H112" t="str">
        <f t="shared" si="16"/>
        <v>Moderate Use</v>
      </c>
      <c r="I112" t="s">
        <v>31</v>
      </c>
      <c r="J112" t="s">
        <v>18</v>
      </c>
      <c r="K112">
        <v>5.9</v>
      </c>
      <c r="L112" t="str">
        <f t="shared" si="17"/>
        <v>Severly Deficient Sleep</v>
      </c>
      <c r="M112">
        <v>6</v>
      </c>
      <c r="N112" t="str">
        <f t="shared" si="18"/>
        <v>Moderate</v>
      </c>
      <c r="O112" t="s">
        <v>20</v>
      </c>
      <c r="P112">
        <v>7</v>
      </c>
      <c r="Q112" t="str">
        <f>IF(P112&gt;=7,"High",IF(P112&gt;=6,"Medium","Low"))</f>
        <v>High</v>
      </c>
    </row>
    <row r="113" spans="1:17" hidden="1" x14ac:dyDescent="0.3">
      <c r="A113">
        <v>113</v>
      </c>
      <c r="B113">
        <v>19</v>
      </c>
      <c r="C113" t="str">
        <f t="shared" si="15"/>
        <v>Teenager</v>
      </c>
      <c r="D113" t="s">
        <v>21</v>
      </c>
      <c r="E113" t="s">
        <v>14</v>
      </c>
      <c r="F113" t="s">
        <v>192</v>
      </c>
      <c r="G113">
        <v>4.9000000000000004</v>
      </c>
      <c r="H113" t="str">
        <f t="shared" si="16"/>
        <v>Moderate Use</v>
      </c>
      <c r="I113" t="s">
        <v>41</v>
      </c>
      <c r="J113" t="s">
        <v>26</v>
      </c>
      <c r="K113">
        <v>7.1</v>
      </c>
      <c r="L113" t="str">
        <f t="shared" si="17"/>
        <v>Sufficient Sleep</v>
      </c>
      <c r="M113">
        <v>7</v>
      </c>
      <c r="N113" t="str">
        <f t="shared" si="18"/>
        <v>Sever</v>
      </c>
      <c r="O113" t="s">
        <v>28</v>
      </c>
      <c r="P113">
        <v>5</v>
      </c>
      <c r="Q113" t="str">
        <f t="shared" si="24"/>
        <v>Medium</v>
      </c>
    </row>
    <row r="114" spans="1:17" hidden="1" x14ac:dyDescent="0.3">
      <c r="A114">
        <v>114</v>
      </c>
      <c r="B114">
        <v>22</v>
      </c>
      <c r="C114" t="str">
        <f t="shared" si="15"/>
        <v>Young Adult</v>
      </c>
      <c r="D114" t="s">
        <v>13</v>
      </c>
      <c r="E114" t="s">
        <v>22</v>
      </c>
      <c r="F114" t="s">
        <v>191</v>
      </c>
      <c r="G114">
        <v>5.5</v>
      </c>
      <c r="H114" t="str">
        <f t="shared" si="16"/>
        <v>Moderate Use</v>
      </c>
      <c r="I114" t="s">
        <v>17</v>
      </c>
      <c r="J114" t="s">
        <v>18</v>
      </c>
      <c r="K114">
        <v>6</v>
      </c>
      <c r="L114" t="str">
        <f t="shared" si="17"/>
        <v>Severly Deficient Sleep</v>
      </c>
      <c r="M114">
        <v>5</v>
      </c>
      <c r="N114" t="str">
        <f t="shared" si="18"/>
        <v>Moderate</v>
      </c>
      <c r="O114" t="s">
        <v>28</v>
      </c>
      <c r="P114">
        <v>8</v>
      </c>
      <c r="Q114" t="str">
        <f t="shared" si="24"/>
        <v>High</v>
      </c>
    </row>
    <row r="115" spans="1:17" hidden="1" x14ac:dyDescent="0.3">
      <c r="A115">
        <v>115</v>
      </c>
      <c r="B115">
        <v>20</v>
      </c>
      <c r="C115" t="str">
        <f t="shared" si="15"/>
        <v>Young Adult</v>
      </c>
      <c r="D115" t="s">
        <v>21</v>
      </c>
      <c r="E115" t="s">
        <v>14</v>
      </c>
      <c r="F115" t="s">
        <v>194</v>
      </c>
      <c r="G115">
        <v>5.2</v>
      </c>
      <c r="H115" t="str">
        <f t="shared" si="16"/>
        <v>Moderate Use</v>
      </c>
      <c r="I115" t="s">
        <v>31</v>
      </c>
      <c r="J115" t="s">
        <v>18</v>
      </c>
      <c r="K115">
        <v>6.3</v>
      </c>
      <c r="L115" t="str">
        <f t="shared" si="17"/>
        <v>Severly Deficient Sleep</v>
      </c>
      <c r="M115">
        <v>6</v>
      </c>
      <c r="N115" t="str">
        <f t="shared" si="18"/>
        <v>Moderate</v>
      </c>
      <c r="O115" t="s">
        <v>20</v>
      </c>
      <c r="P115">
        <v>7</v>
      </c>
      <c r="Q115" t="str">
        <f t="shared" si="24"/>
        <v>High</v>
      </c>
    </row>
    <row r="116" spans="1:17" hidden="1" x14ac:dyDescent="0.3">
      <c r="A116">
        <v>116</v>
      </c>
      <c r="B116">
        <v>19</v>
      </c>
      <c r="C116" t="str">
        <f t="shared" si="15"/>
        <v>Teenager</v>
      </c>
      <c r="D116" t="s">
        <v>13</v>
      </c>
      <c r="E116" t="s">
        <v>14</v>
      </c>
      <c r="F116" t="s">
        <v>195</v>
      </c>
      <c r="G116">
        <v>4.8</v>
      </c>
      <c r="H116" t="str">
        <f t="shared" si="16"/>
        <v>Moderate Use</v>
      </c>
      <c r="I116" t="s">
        <v>17</v>
      </c>
      <c r="J116" t="s">
        <v>26</v>
      </c>
      <c r="K116">
        <v>7.2</v>
      </c>
      <c r="L116" t="str">
        <f t="shared" si="17"/>
        <v>Sufficient Sleep</v>
      </c>
      <c r="M116">
        <v>8</v>
      </c>
      <c r="N116" t="str">
        <f t="shared" si="18"/>
        <v>Sever</v>
      </c>
      <c r="O116" t="s">
        <v>28</v>
      </c>
      <c r="P116">
        <v>5</v>
      </c>
      <c r="Q116" t="str">
        <f t="shared" si="24"/>
        <v>Medium</v>
      </c>
    </row>
    <row r="117" spans="1:17" hidden="1" x14ac:dyDescent="0.3">
      <c r="A117">
        <v>117</v>
      </c>
      <c r="B117">
        <v>21</v>
      </c>
      <c r="C117" t="str">
        <f t="shared" si="15"/>
        <v>Young Adult</v>
      </c>
      <c r="D117" t="s">
        <v>21</v>
      </c>
      <c r="E117" t="s">
        <v>22</v>
      </c>
      <c r="F117" t="s">
        <v>15</v>
      </c>
      <c r="G117">
        <v>6</v>
      </c>
      <c r="H117" t="str">
        <f t="shared" si="16"/>
        <v>Heavy Use</v>
      </c>
      <c r="I117" t="s">
        <v>41</v>
      </c>
      <c r="J117" t="s">
        <v>18</v>
      </c>
      <c r="K117">
        <v>5.8</v>
      </c>
      <c r="L117" t="str">
        <f t="shared" si="17"/>
        <v>Severly Deficient Sleep</v>
      </c>
      <c r="M117">
        <v>5</v>
      </c>
      <c r="N117" t="str">
        <f t="shared" si="18"/>
        <v>Moderate</v>
      </c>
      <c r="O117" t="s">
        <v>20</v>
      </c>
      <c r="P117">
        <v>8</v>
      </c>
      <c r="Q117" t="str">
        <f t="shared" si="24"/>
        <v>High</v>
      </c>
    </row>
    <row r="118" spans="1:17" x14ac:dyDescent="0.3">
      <c r="A118">
        <v>118</v>
      </c>
      <c r="B118">
        <v>20</v>
      </c>
      <c r="C118" t="str">
        <f t="shared" si="15"/>
        <v>Young Adult</v>
      </c>
      <c r="D118" t="s">
        <v>13</v>
      </c>
      <c r="E118" t="s">
        <v>14</v>
      </c>
      <c r="F118" t="s">
        <v>23</v>
      </c>
      <c r="G118">
        <v>5.7</v>
      </c>
      <c r="H118" t="str">
        <f t="shared" si="16"/>
        <v>Moderate Use</v>
      </c>
      <c r="I118" t="s">
        <v>17</v>
      </c>
      <c r="J118" t="s">
        <v>18</v>
      </c>
      <c r="K118">
        <v>6.1</v>
      </c>
      <c r="L118" t="str">
        <f t="shared" si="17"/>
        <v>Severly Deficient Sleep</v>
      </c>
      <c r="M118">
        <v>6</v>
      </c>
      <c r="N118" t="str">
        <f t="shared" si="18"/>
        <v>Moderate</v>
      </c>
      <c r="O118" t="s">
        <v>28</v>
      </c>
      <c r="P118">
        <v>7</v>
      </c>
      <c r="Q118" t="str">
        <f>IF(P118&gt;=7,"High",IF(P118&gt;=6,"Medium","Low"))</f>
        <v>High</v>
      </c>
    </row>
    <row r="119" spans="1:17" hidden="1" x14ac:dyDescent="0.3">
      <c r="A119">
        <v>119</v>
      </c>
      <c r="B119">
        <v>22</v>
      </c>
      <c r="C119" t="str">
        <f t="shared" si="15"/>
        <v>Young Adult</v>
      </c>
      <c r="D119" t="s">
        <v>21</v>
      </c>
      <c r="E119" t="s">
        <v>22</v>
      </c>
      <c r="F119" t="s">
        <v>192</v>
      </c>
      <c r="G119">
        <v>4.7</v>
      </c>
      <c r="H119" t="str">
        <f t="shared" si="16"/>
        <v>Moderate Use</v>
      </c>
      <c r="I119" t="s">
        <v>31</v>
      </c>
      <c r="J119" t="s">
        <v>26</v>
      </c>
      <c r="K119">
        <v>7.3</v>
      </c>
      <c r="L119" t="str">
        <f t="shared" si="17"/>
        <v>Sufficient Sleep</v>
      </c>
      <c r="M119">
        <v>7</v>
      </c>
      <c r="N119" t="str">
        <f t="shared" si="18"/>
        <v>Sever</v>
      </c>
      <c r="O119" t="s">
        <v>28</v>
      </c>
      <c r="P119">
        <v>5</v>
      </c>
      <c r="Q119" t="str">
        <f t="shared" si="24"/>
        <v>Medium</v>
      </c>
    </row>
    <row r="120" spans="1:17" hidden="1" x14ac:dyDescent="0.3">
      <c r="A120">
        <v>120</v>
      </c>
      <c r="B120">
        <v>19</v>
      </c>
      <c r="C120" t="str">
        <f t="shared" si="15"/>
        <v>Teenager</v>
      </c>
      <c r="D120" t="s">
        <v>13</v>
      </c>
      <c r="E120" t="s">
        <v>14</v>
      </c>
      <c r="F120" t="s">
        <v>191</v>
      </c>
      <c r="G120">
        <v>5.4</v>
      </c>
      <c r="H120" t="str">
        <f t="shared" si="16"/>
        <v>Moderate Use</v>
      </c>
      <c r="I120" t="s">
        <v>17</v>
      </c>
      <c r="J120" t="s">
        <v>18</v>
      </c>
      <c r="K120">
        <v>6.2</v>
      </c>
      <c r="L120" t="str">
        <f t="shared" si="17"/>
        <v>Severly Deficient Sleep</v>
      </c>
      <c r="M120">
        <v>5</v>
      </c>
      <c r="N120" t="str">
        <f t="shared" si="18"/>
        <v>Moderate</v>
      </c>
      <c r="O120" t="s">
        <v>20</v>
      </c>
      <c r="P120">
        <v>8</v>
      </c>
      <c r="Q120" t="str">
        <f t="shared" si="24"/>
        <v>High</v>
      </c>
    </row>
    <row r="121" spans="1:17" hidden="1" x14ac:dyDescent="0.3">
      <c r="A121">
        <v>121</v>
      </c>
      <c r="B121">
        <v>20</v>
      </c>
      <c r="C121" t="str">
        <f t="shared" si="15"/>
        <v>Young Adult</v>
      </c>
      <c r="D121" t="s">
        <v>21</v>
      </c>
      <c r="E121" t="s">
        <v>14</v>
      </c>
      <c r="F121" t="s">
        <v>194</v>
      </c>
      <c r="G121">
        <v>5.9</v>
      </c>
      <c r="H121" t="str">
        <f t="shared" si="16"/>
        <v>Moderate Use</v>
      </c>
      <c r="I121" t="s">
        <v>41</v>
      </c>
      <c r="J121" t="s">
        <v>18</v>
      </c>
      <c r="K121">
        <v>5.9</v>
      </c>
      <c r="L121" t="str">
        <f t="shared" si="17"/>
        <v>Severly Deficient Sleep</v>
      </c>
      <c r="M121">
        <v>6</v>
      </c>
      <c r="N121" t="str">
        <f t="shared" si="18"/>
        <v>Moderate</v>
      </c>
      <c r="O121" t="s">
        <v>28</v>
      </c>
      <c r="P121">
        <v>7</v>
      </c>
      <c r="Q121" t="str">
        <f t="shared" si="24"/>
        <v>High</v>
      </c>
    </row>
    <row r="122" spans="1:17" hidden="1" x14ac:dyDescent="0.3">
      <c r="A122">
        <v>122</v>
      </c>
      <c r="B122">
        <v>21</v>
      </c>
      <c r="C122" t="str">
        <f t="shared" si="15"/>
        <v>Young Adult</v>
      </c>
      <c r="D122" t="s">
        <v>13</v>
      </c>
      <c r="E122" t="s">
        <v>22</v>
      </c>
      <c r="F122" t="s">
        <v>195</v>
      </c>
      <c r="G122">
        <v>4.5999999999999996</v>
      </c>
      <c r="H122" t="str">
        <f t="shared" si="16"/>
        <v>Moderate Use</v>
      </c>
      <c r="I122" t="s">
        <v>17</v>
      </c>
      <c r="J122" t="s">
        <v>26</v>
      </c>
      <c r="K122">
        <v>7.4</v>
      </c>
      <c r="L122" t="str">
        <f t="shared" si="17"/>
        <v>Sufficient Sleep</v>
      </c>
      <c r="M122">
        <v>8</v>
      </c>
      <c r="N122" t="str">
        <f t="shared" si="18"/>
        <v>Sever</v>
      </c>
      <c r="O122" t="s">
        <v>20</v>
      </c>
      <c r="P122">
        <v>5</v>
      </c>
      <c r="Q122" t="str">
        <f t="shared" si="24"/>
        <v>Medium</v>
      </c>
    </row>
    <row r="123" spans="1:17" hidden="1" x14ac:dyDescent="0.3">
      <c r="A123">
        <v>123</v>
      </c>
      <c r="B123">
        <v>19</v>
      </c>
      <c r="C123" t="str">
        <f t="shared" si="15"/>
        <v>Teenager</v>
      </c>
      <c r="D123" t="s">
        <v>21</v>
      </c>
      <c r="E123" t="s">
        <v>14</v>
      </c>
      <c r="F123" t="s">
        <v>15</v>
      </c>
      <c r="G123">
        <v>5.3</v>
      </c>
      <c r="H123" t="str">
        <f t="shared" si="16"/>
        <v>Moderate Use</v>
      </c>
      <c r="I123" t="s">
        <v>31</v>
      </c>
      <c r="J123" t="s">
        <v>18</v>
      </c>
      <c r="K123">
        <v>6.3</v>
      </c>
      <c r="L123" t="str">
        <f t="shared" si="17"/>
        <v>Severly Deficient Sleep</v>
      </c>
      <c r="M123">
        <v>5</v>
      </c>
      <c r="N123" t="str">
        <f t="shared" si="18"/>
        <v>Moderate</v>
      </c>
      <c r="O123" t="s">
        <v>28</v>
      </c>
      <c r="P123">
        <v>8</v>
      </c>
      <c r="Q123" t="str">
        <f t="shared" si="24"/>
        <v>High</v>
      </c>
    </row>
    <row r="124" spans="1:17" x14ac:dyDescent="0.3">
      <c r="A124">
        <v>124</v>
      </c>
      <c r="B124">
        <v>22</v>
      </c>
      <c r="C124" t="str">
        <f t="shared" si="15"/>
        <v>Young Adult</v>
      </c>
      <c r="D124" t="s">
        <v>13</v>
      </c>
      <c r="E124" t="s">
        <v>22</v>
      </c>
      <c r="F124" t="s">
        <v>23</v>
      </c>
      <c r="G124">
        <v>5.8</v>
      </c>
      <c r="H124" t="str">
        <f t="shared" si="16"/>
        <v>Moderate Use</v>
      </c>
      <c r="I124" t="s">
        <v>17</v>
      </c>
      <c r="J124" t="s">
        <v>18</v>
      </c>
      <c r="K124">
        <v>5.8</v>
      </c>
      <c r="L124" t="str">
        <f t="shared" si="17"/>
        <v>Severly Deficient Sleep</v>
      </c>
      <c r="M124">
        <v>6</v>
      </c>
      <c r="N124" t="str">
        <f t="shared" si="18"/>
        <v>Moderate</v>
      </c>
      <c r="O124" t="s">
        <v>20</v>
      </c>
      <c r="P124">
        <v>7</v>
      </c>
      <c r="Q124" t="str">
        <f>IF(P124&gt;=7,"High",IF(P124&gt;=6,"Medium","Low"))</f>
        <v>High</v>
      </c>
    </row>
    <row r="125" spans="1:17" hidden="1" x14ac:dyDescent="0.3">
      <c r="A125">
        <v>125</v>
      </c>
      <c r="B125">
        <v>20</v>
      </c>
      <c r="C125" t="str">
        <f t="shared" si="15"/>
        <v>Young Adult</v>
      </c>
      <c r="D125" t="s">
        <v>21</v>
      </c>
      <c r="E125" t="s">
        <v>14</v>
      </c>
      <c r="F125" t="s">
        <v>192</v>
      </c>
      <c r="G125">
        <v>4.5</v>
      </c>
      <c r="H125" t="str">
        <f t="shared" si="16"/>
        <v>Moderate Use</v>
      </c>
      <c r="I125" t="s">
        <v>41</v>
      </c>
      <c r="J125" t="s">
        <v>26</v>
      </c>
      <c r="K125">
        <v>7.5</v>
      </c>
      <c r="L125" t="str">
        <f t="shared" si="17"/>
        <v>Sufficient Sleep</v>
      </c>
      <c r="M125">
        <v>7</v>
      </c>
      <c r="N125" t="str">
        <f t="shared" si="18"/>
        <v>Sever</v>
      </c>
      <c r="O125" t="s">
        <v>28</v>
      </c>
      <c r="P125">
        <v>5</v>
      </c>
      <c r="Q125" t="str">
        <f t="shared" si="24"/>
        <v>Medium</v>
      </c>
    </row>
    <row r="126" spans="1:17" hidden="1" x14ac:dyDescent="0.3">
      <c r="A126">
        <v>126</v>
      </c>
      <c r="B126">
        <v>21</v>
      </c>
      <c r="C126" t="str">
        <f t="shared" si="15"/>
        <v>Young Adult</v>
      </c>
      <c r="D126" t="s">
        <v>13</v>
      </c>
      <c r="E126" t="s">
        <v>22</v>
      </c>
      <c r="F126" t="s">
        <v>191</v>
      </c>
      <c r="G126">
        <v>5.2</v>
      </c>
      <c r="H126" t="str">
        <f t="shared" si="16"/>
        <v>Moderate Use</v>
      </c>
      <c r="I126" t="s">
        <v>17</v>
      </c>
      <c r="J126" t="s">
        <v>18</v>
      </c>
      <c r="K126">
        <v>6.4</v>
      </c>
      <c r="L126" t="str">
        <f t="shared" si="17"/>
        <v>Severly Deficient Sleep</v>
      </c>
      <c r="M126">
        <v>5</v>
      </c>
      <c r="N126" t="str">
        <f t="shared" si="18"/>
        <v>Moderate</v>
      </c>
      <c r="O126" t="s">
        <v>20</v>
      </c>
      <c r="P126">
        <v>8</v>
      </c>
      <c r="Q126" t="str">
        <f t="shared" si="24"/>
        <v>High</v>
      </c>
    </row>
    <row r="127" spans="1:17" hidden="1" x14ac:dyDescent="0.3">
      <c r="A127">
        <v>127</v>
      </c>
      <c r="B127">
        <v>19</v>
      </c>
      <c r="C127" t="str">
        <f t="shared" si="15"/>
        <v>Teenager</v>
      </c>
      <c r="D127" t="s">
        <v>21</v>
      </c>
      <c r="E127" t="s">
        <v>14</v>
      </c>
      <c r="F127" t="s">
        <v>194</v>
      </c>
      <c r="G127">
        <v>5.7</v>
      </c>
      <c r="H127" t="str">
        <f t="shared" si="16"/>
        <v>Moderate Use</v>
      </c>
      <c r="I127" t="s">
        <v>31</v>
      </c>
      <c r="J127" t="s">
        <v>18</v>
      </c>
      <c r="K127">
        <v>5.7</v>
      </c>
      <c r="L127" t="str">
        <f t="shared" si="17"/>
        <v>Severly Deficient Sleep</v>
      </c>
      <c r="M127">
        <v>6</v>
      </c>
      <c r="N127" t="str">
        <f t="shared" si="18"/>
        <v>Moderate</v>
      </c>
      <c r="O127" t="s">
        <v>28</v>
      </c>
      <c r="P127">
        <v>7</v>
      </c>
      <c r="Q127" t="str">
        <f t="shared" si="24"/>
        <v>High</v>
      </c>
    </row>
    <row r="128" spans="1:17" hidden="1" x14ac:dyDescent="0.3">
      <c r="A128">
        <v>128</v>
      </c>
      <c r="B128">
        <v>20</v>
      </c>
      <c r="C128" t="str">
        <f t="shared" si="15"/>
        <v>Young Adult</v>
      </c>
      <c r="D128" t="s">
        <v>13</v>
      </c>
      <c r="E128" t="s">
        <v>14</v>
      </c>
      <c r="F128" t="s">
        <v>195</v>
      </c>
      <c r="G128">
        <v>4.4000000000000004</v>
      </c>
      <c r="H128" t="str">
        <f t="shared" si="16"/>
        <v>Moderate Use</v>
      </c>
      <c r="I128" t="s">
        <v>17</v>
      </c>
      <c r="J128" t="s">
        <v>26</v>
      </c>
      <c r="K128">
        <v>7.6</v>
      </c>
      <c r="L128" t="str">
        <f t="shared" si="17"/>
        <v>Sufficient Sleep</v>
      </c>
      <c r="M128">
        <v>8</v>
      </c>
      <c r="N128" t="str">
        <f t="shared" si="18"/>
        <v>Sever</v>
      </c>
      <c r="O128" t="s">
        <v>20</v>
      </c>
      <c r="P128">
        <v>5</v>
      </c>
      <c r="Q128" t="str">
        <f t="shared" si="24"/>
        <v>Medium</v>
      </c>
    </row>
    <row r="129" spans="1:17" hidden="1" x14ac:dyDescent="0.3">
      <c r="A129">
        <v>129</v>
      </c>
      <c r="B129">
        <v>22</v>
      </c>
      <c r="C129" t="str">
        <f t="shared" ref="C129:C192" si="25">IF(B129&gt;=20,"Young Adult","Teenager")</f>
        <v>Young Adult</v>
      </c>
      <c r="D129" t="s">
        <v>21</v>
      </c>
      <c r="E129" t="s">
        <v>22</v>
      </c>
      <c r="F129" t="s">
        <v>15</v>
      </c>
      <c r="G129">
        <v>5.0999999999999996</v>
      </c>
      <c r="H129" t="str">
        <f t="shared" ref="H129:H192" si="26">IF(G129&gt;=6,"Heavy Use",IF(G129&gt;=4,"Moderate Use","Low Use"))</f>
        <v>Moderate Use</v>
      </c>
      <c r="I129" t="s">
        <v>41</v>
      </c>
      <c r="J129" t="s">
        <v>18</v>
      </c>
      <c r="K129">
        <v>6.5</v>
      </c>
      <c r="L129" t="str">
        <f t="shared" ref="L129:L192" si="27">IF(K129&gt;=9,"Excessive Sleep",IF(K129&gt;=7,"Sufficient Sleep","Severly Deficient Sleep"))</f>
        <v>Severly Deficient Sleep</v>
      </c>
      <c r="M129">
        <v>5</v>
      </c>
      <c r="N129" t="str">
        <f t="shared" ref="N129:N192" si="28">IF(M129&gt;=7,"Sever",IF(M129&lt;=4,"Mild","Moderate"))</f>
        <v>Moderate</v>
      </c>
      <c r="O129" t="s">
        <v>28</v>
      </c>
      <c r="P129">
        <v>8</v>
      </c>
      <c r="Q129" t="str">
        <f t="shared" si="24"/>
        <v>High</v>
      </c>
    </row>
    <row r="130" spans="1:17" x14ac:dyDescent="0.3">
      <c r="A130">
        <v>130</v>
      </c>
      <c r="B130">
        <v>21</v>
      </c>
      <c r="C130" t="str">
        <f t="shared" si="25"/>
        <v>Young Adult</v>
      </c>
      <c r="D130" t="s">
        <v>13</v>
      </c>
      <c r="E130" t="s">
        <v>22</v>
      </c>
      <c r="F130" t="s">
        <v>23</v>
      </c>
      <c r="G130">
        <v>5.6</v>
      </c>
      <c r="H130" t="str">
        <f t="shared" si="26"/>
        <v>Moderate Use</v>
      </c>
      <c r="I130" t="s">
        <v>17</v>
      </c>
      <c r="J130" t="s">
        <v>18</v>
      </c>
      <c r="K130">
        <v>5.6</v>
      </c>
      <c r="L130" t="str">
        <f t="shared" si="27"/>
        <v>Severly Deficient Sleep</v>
      </c>
      <c r="M130">
        <v>6</v>
      </c>
      <c r="N130" t="str">
        <f t="shared" si="28"/>
        <v>Moderate</v>
      </c>
      <c r="O130" t="s">
        <v>20</v>
      </c>
      <c r="P130">
        <v>7</v>
      </c>
      <c r="Q130" t="str">
        <f>IF(P130&gt;=7,"High",IF(P130&gt;=6,"Medium","Low"))</f>
        <v>High</v>
      </c>
    </row>
    <row r="131" spans="1:17" hidden="1" x14ac:dyDescent="0.3">
      <c r="A131">
        <v>131</v>
      </c>
      <c r="B131">
        <v>19</v>
      </c>
      <c r="C131" t="str">
        <f t="shared" si="25"/>
        <v>Teenager</v>
      </c>
      <c r="D131" t="s">
        <v>21</v>
      </c>
      <c r="E131" t="s">
        <v>14</v>
      </c>
      <c r="F131" t="s">
        <v>192</v>
      </c>
      <c r="G131">
        <v>4.3</v>
      </c>
      <c r="H131" t="str">
        <f t="shared" si="26"/>
        <v>Moderate Use</v>
      </c>
      <c r="I131" t="s">
        <v>31</v>
      </c>
      <c r="J131" t="s">
        <v>26</v>
      </c>
      <c r="K131">
        <v>7.7</v>
      </c>
      <c r="L131" t="str">
        <f t="shared" si="27"/>
        <v>Sufficient Sleep</v>
      </c>
      <c r="M131">
        <v>7</v>
      </c>
      <c r="N131" t="str">
        <f t="shared" si="28"/>
        <v>Sever</v>
      </c>
      <c r="O131" t="s">
        <v>28</v>
      </c>
      <c r="P131">
        <v>5</v>
      </c>
      <c r="Q131" t="str">
        <f t="shared" si="24"/>
        <v>Medium</v>
      </c>
    </row>
    <row r="132" spans="1:17" hidden="1" x14ac:dyDescent="0.3">
      <c r="A132">
        <v>132</v>
      </c>
      <c r="B132">
        <v>20</v>
      </c>
      <c r="C132" t="str">
        <f t="shared" si="25"/>
        <v>Young Adult</v>
      </c>
      <c r="D132" t="s">
        <v>13</v>
      </c>
      <c r="E132" t="s">
        <v>14</v>
      </c>
      <c r="F132" t="s">
        <v>191</v>
      </c>
      <c r="G132">
        <v>5</v>
      </c>
      <c r="H132" t="str">
        <f t="shared" si="26"/>
        <v>Moderate Use</v>
      </c>
      <c r="I132" t="s">
        <v>17</v>
      </c>
      <c r="J132" t="s">
        <v>18</v>
      </c>
      <c r="K132">
        <v>6.6</v>
      </c>
      <c r="L132" t="str">
        <f t="shared" si="27"/>
        <v>Severly Deficient Sleep</v>
      </c>
      <c r="M132">
        <v>5</v>
      </c>
      <c r="N132" t="str">
        <f t="shared" si="28"/>
        <v>Moderate</v>
      </c>
      <c r="O132" t="s">
        <v>20</v>
      </c>
      <c r="P132">
        <v>8</v>
      </c>
      <c r="Q132" t="str">
        <f t="shared" si="24"/>
        <v>High</v>
      </c>
    </row>
    <row r="133" spans="1:17" hidden="1" x14ac:dyDescent="0.3">
      <c r="A133">
        <v>133</v>
      </c>
      <c r="B133">
        <v>22</v>
      </c>
      <c r="C133" t="str">
        <f t="shared" si="25"/>
        <v>Young Adult</v>
      </c>
      <c r="D133" t="s">
        <v>21</v>
      </c>
      <c r="E133" t="s">
        <v>22</v>
      </c>
      <c r="F133" t="s">
        <v>194</v>
      </c>
      <c r="G133">
        <v>5.5</v>
      </c>
      <c r="H133" t="str">
        <f t="shared" si="26"/>
        <v>Moderate Use</v>
      </c>
      <c r="I133" t="s">
        <v>41</v>
      </c>
      <c r="J133" t="s">
        <v>18</v>
      </c>
      <c r="K133">
        <v>5.5</v>
      </c>
      <c r="L133" t="str">
        <f t="shared" si="27"/>
        <v>Severly Deficient Sleep</v>
      </c>
      <c r="M133">
        <v>6</v>
      </c>
      <c r="N133" t="str">
        <f t="shared" si="28"/>
        <v>Moderate</v>
      </c>
      <c r="O133" t="s">
        <v>28</v>
      </c>
      <c r="P133">
        <v>7</v>
      </c>
      <c r="Q133" t="str">
        <f t="shared" si="24"/>
        <v>High</v>
      </c>
    </row>
    <row r="134" spans="1:17" hidden="1" x14ac:dyDescent="0.3">
      <c r="A134">
        <v>134</v>
      </c>
      <c r="B134">
        <v>21</v>
      </c>
      <c r="C134" t="str">
        <f t="shared" si="25"/>
        <v>Young Adult</v>
      </c>
      <c r="D134" t="s">
        <v>13</v>
      </c>
      <c r="E134" t="s">
        <v>22</v>
      </c>
      <c r="F134" t="s">
        <v>195</v>
      </c>
      <c r="G134">
        <v>4.2</v>
      </c>
      <c r="H134" t="str">
        <f t="shared" si="26"/>
        <v>Moderate Use</v>
      </c>
      <c r="I134" t="s">
        <v>17</v>
      </c>
      <c r="J134" t="s">
        <v>26</v>
      </c>
      <c r="K134">
        <v>7.8</v>
      </c>
      <c r="L134" t="str">
        <f t="shared" si="27"/>
        <v>Sufficient Sleep</v>
      </c>
      <c r="M134">
        <v>8</v>
      </c>
      <c r="N134" t="str">
        <f t="shared" si="28"/>
        <v>Sever</v>
      </c>
      <c r="O134" t="s">
        <v>20</v>
      </c>
      <c r="P134">
        <v>5</v>
      </c>
      <c r="Q134" t="str">
        <f t="shared" si="24"/>
        <v>Medium</v>
      </c>
    </row>
    <row r="135" spans="1:17" hidden="1" x14ac:dyDescent="0.3">
      <c r="A135">
        <v>135</v>
      </c>
      <c r="B135">
        <v>19</v>
      </c>
      <c r="C135" t="str">
        <f t="shared" si="25"/>
        <v>Teenager</v>
      </c>
      <c r="D135" t="s">
        <v>21</v>
      </c>
      <c r="E135" t="s">
        <v>14</v>
      </c>
      <c r="F135" t="s">
        <v>15</v>
      </c>
      <c r="G135">
        <v>4.9000000000000004</v>
      </c>
      <c r="H135" t="str">
        <f t="shared" si="26"/>
        <v>Moderate Use</v>
      </c>
      <c r="I135" t="s">
        <v>31</v>
      </c>
      <c r="J135" t="s">
        <v>18</v>
      </c>
      <c r="K135">
        <v>6.7</v>
      </c>
      <c r="L135" t="str">
        <f t="shared" si="27"/>
        <v>Severly Deficient Sleep</v>
      </c>
      <c r="M135">
        <v>5</v>
      </c>
      <c r="N135" t="str">
        <f t="shared" si="28"/>
        <v>Moderate</v>
      </c>
      <c r="O135" t="s">
        <v>28</v>
      </c>
      <c r="P135">
        <v>8</v>
      </c>
      <c r="Q135" t="str">
        <f t="shared" si="24"/>
        <v>High</v>
      </c>
    </row>
    <row r="136" spans="1:17" x14ac:dyDescent="0.3">
      <c r="A136">
        <v>136</v>
      </c>
      <c r="B136">
        <v>20</v>
      </c>
      <c r="C136" t="str">
        <f t="shared" si="25"/>
        <v>Young Adult</v>
      </c>
      <c r="D136" t="s">
        <v>13</v>
      </c>
      <c r="E136" t="s">
        <v>14</v>
      </c>
      <c r="F136" t="s">
        <v>23</v>
      </c>
      <c r="G136">
        <v>5.4</v>
      </c>
      <c r="H136" t="str">
        <f t="shared" si="26"/>
        <v>Moderate Use</v>
      </c>
      <c r="I136" t="s">
        <v>17</v>
      </c>
      <c r="J136" t="s">
        <v>18</v>
      </c>
      <c r="K136">
        <v>5.4</v>
      </c>
      <c r="L136" t="str">
        <f t="shared" si="27"/>
        <v>Severly Deficient Sleep</v>
      </c>
      <c r="M136">
        <v>6</v>
      </c>
      <c r="N136" t="str">
        <f t="shared" si="28"/>
        <v>Moderate</v>
      </c>
      <c r="O136" t="s">
        <v>20</v>
      </c>
      <c r="P136">
        <v>7</v>
      </c>
      <c r="Q136" t="str">
        <f>IF(P136&gt;=7,"High",IF(P136&gt;=6,"Medium","Low"))</f>
        <v>High</v>
      </c>
    </row>
    <row r="137" spans="1:17" hidden="1" x14ac:dyDescent="0.3">
      <c r="A137">
        <v>137</v>
      </c>
      <c r="B137">
        <v>22</v>
      </c>
      <c r="C137" t="str">
        <f t="shared" si="25"/>
        <v>Young Adult</v>
      </c>
      <c r="D137" t="s">
        <v>21</v>
      </c>
      <c r="E137" t="s">
        <v>22</v>
      </c>
      <c r="F137" t="s">
        <v>192</v>
      </c>
      <c r="G137">
        <v>4.0999999999999996</v>
      </c>
      <c r="H137" t="str">
        <f t="shared" si="26"/>
        <v>Moderate Use</v>
      </c>
      <c r="I137" t="s">
        <v>41</v>
      </c>
      <c r="J137" t="s">
        <v>26</v>
      </c>
      <c r="K137">
        <v>7.9</v>
      </c>
      <c r="L137" t="str">
        <f t="shared" si="27"/>
        <v>Sufficient Sleep</v>
      </c>
      <c r="M137">
        <v>7</v>
      </c>
      <c r="N137" t="str">
        <f t="shared" si="28"/>
        <v>Sever</v>
      </c>
      <c r="O137" t="s">
        <v>28</v>
      </c>
      <c r="P137">
        <v>5</v>
      </c>
      <c r="Q137" t="str">
        <f t="shared" si="24"/>
        <v>Medium</v>
      </c>
    </row>
    <row r="138" spans="1:17" hidden="1" x14ac:dyDescent="0.3">
      <c r="A138">
        <v>138</v>
      </c>
      <c r="B138">
        <v>21</v>
      </c>
      <c r="C138" t="str">
        <f t="shared" si="25"/>
        <v>Young Adult</v>
      </c>
      <c r="D138" t="s">
        <v>13</v>
      </c>
      <c r="E138" t="s">
        <v>22</v>
      </c>
      <c r="F138" t="s">
        <v>191</v>
      </c>
      <c r="G138">
        <v>4.8</v>
      </c>
      <c r="H138" t="str">
        <f t="shared" si="26"/>
        <v>Moderate Use</v>
      </c>
      <c r="I138" t="s">
        <v>17</v>
      </c>
      <c r="J138" t="s">
        <v>18</v>
      </c>
      <c r="K138">
        <v>6.8</v>
      </c>
      <c r="L138" t="str">
        <f t="shared" si="27"/>
        <v>Severly Deficient Sleep</v>
      </c>
      <c r="M138">
        <v>5</v>
      </c>
      <c r="N138" t="str">
        <f t="shared" si="28"/>
        <v>Moderate</v>
      </c>
      <c r="O138" t="s">
        <v>20</v>
      </c>
      <c r="P138">
        <v>8</v>
      </c>
      <c r="Q138" t="str">
        <f t="shared" si="24"/>
        <v>High</v>
      </c>
    </row>
    <row r="139" spans="1:17" hidden="1" x14ac:dyDescent="0.3">
      <c r="A139">
        <v>139</v>
      </c>
      <c r="B139">
        <v>19</v>
      </c>
      <c r="C139" t="str">
        <f t="shared" si="25"/>
        <v>Teenager</v>
      </c>
      <c r="D139" t="s">
        <v>21</v>
      </c>
      <c r="E139" t="s">
        <v>14</v>
      </c>
      <c r="F139" t="s">
        <v>194</v>
      </c>
      <c r="G139">
        <v>5.3</v>
      </c>
      <c r="H139" t="str">
        <f t="shared" si="26"/>
        <v>Moderate Use</v>
      </c>
      <c r="I139" t="s">
        <v>31</v>
      </c>
      <c r="J139" t="s">
        <v>18</v>
      </c>
      <c r="K139">
        <v>5.3</v>
      </c>
      <c r="L139" t="str">
        <f t="shared" si="27"/>
        <v>Severly Deficient Sleep</v>
      </c>
      <c r="M139">
        <v>6</v>
      </c>
      <c r="N139" t="str">
        <f t="shared" si="28"/>
        <v>Moderate</v>
      </c>
      <c r="O139" t="s">
        <v>28</v>
      </c>
      <c r="P139">
        <v>7</v>
      </c>
      <c r="Q139" t="str">
        <f t="shared" si="24"/>
        <v>High</v>
      </c>
    </row>
    <row r="140" spans="1:17" hidden="1" x14ac:dyDescent="0.3">
      <c r="A140">
        <v>140</v>
      </c>
      <c r="B140">
        <v>20</v>
      </c>
      <c r="C140" t="str">
        <f t="shared" si="25"/>
        <v>Young Adult</v>
      </c>
      <c r="D140" t="s">
        <v>13</v>
      </c>
      <c r="E140" t="s">
        <v>14</v>
      </c>
      <c r="F140" t="s">
        <v>195</v>
      </c>
      <c r="G140">
        <v>4</v>
      </c>
      <c r="H140" t="str">
        <f t="shared" si="26"/>
        <v>Moderate Use</v>
      </c>
      <c r="I140" t="s">
        <v>17</v>
      </c>
      <c r="J140" t="s">
        <v>26</v>
      </c>
      <c r="K140">
        <v>8</v>
      </c>
      <c r="L140" t="str">
        <f t="shared" si="27"/>
        <v>Sufficient Sleep</v>
      </c>
      <c r="M140">
        <v>8</v>
      </c>
      <c r="N140" t="str">
        <f t="shared" si="28"/>
        <v>Sever</v>
      </c>
      <c r="O140" t="s">
        <v>20</v>
      </c>
      <c r="P140">
        <v>5</v>
      </c>
      <c r="Q140" t="str">
        <f t="shared" si="24"/>
        <v>Medium</v>
      </c>
    </row>
    <row r="141" spans="1:17" hidden="1" x14ac:dyDescent="0.3">
      <c r="A141">
        <v>141</v>
      </c>
      <c r="B141">
        <v>22</v>
      </c>
      <c r="C141" t="str">
        <f t="shared" si="25"/>
        <v>Young Adult</v>
      </c>
      <c r="D141" t="s">
        <v>21</v>
      </c>
      <c r="E141" t="s">
        <v>22</v>
      </c>
      <c r="F141" t="s">
        <v>15</v>
      </c>
      <c r="G141">
        <v>4.7</v>
      </c>
      <c r="H141" t="str">
        <f t="shared" si="26"/>
        <v>Moderate Use</v>
      </c>
      <c r="I141" t="s">
        <v>41</v>
      </c>
      <c r="J141" t="s">
        <v>18</v>
      </c>
      <c r="K141">
        <v>6.9</v>
      </c>
      <c r="L141" t="str">
        <f t="shared" si="27"/>
        <v>Severly Deficient Sleep</v>
      </c>
      <c r="M141">
        <v>5</v>
      </c>
      <c r="N141" t="str">
        <f t="shared" si="28"/>
        <v>Moderate</v>
      </c>
      <c r="O141" t="s">
        <v>28</v>
      </c>
      <c r="P141">
        <v>8</v>
      </c>
      <c r="Q141" t="str">
        <f t="shared" si="24"/>
        <v>High</v>
      </c>
    </row>
    <row r="142" spans="1:17" x14ac:dyDescent="0.3">
      <c r="A142">
        <v>142</v>
      </c>
      <c r="B142">
        <v>21</v>
      </c>
      <c r="C142" t="str">
        <f t="shared" si="25"/>
        <v>Young Adult</v>
      </c>
      <c r="D142" t="s">
        <v>13</v>
      </c>
      <c r="E142" t="s">
        <v>22</v>
      </c>
      <c r="F142" t="s">
        <v>23</v>
      </c>
      <c r="G142">
        <v>5.2</v>
      </c>
      <c r="H142" t="str">
        <f t="shared" si="26"/>
        <v>Moderate Use</v>
      </c>
      <c r="I142" t="s">
        <v>17</v>
      </c>
      <c r="J142" t="s">
        <v>18</v>
      </c>
      <c r="K142">
        <v>5.2</v>
      </c>
      <c r="L142" t="str">
        <f t="shared" si="27"/>
        <v>Severly Deficient Sleep</v>
      </c>
      <c r="M142">
        <v>6</v>
      </c>
      <c r="N142" t="str">
        <f t="shared" si="28"/>
        <v>Moderate</v>
      </c>
      <c r="O142" t="s">
        <v>20</v>
      </c>
      <c r="P142">
        <v>7</v>
      </c>
      <c r="Q142" t="str">
        <f>IF(P142&gt;=7,"High",IF(P142&gt;=6,"Medium","Low"))</f>
        <v>High</v>
      </c>
    </row>
    <row r="143" spans="1:17" hidden="1" x14ac:dyDescent="0.3">
      <c r="A143">
        <v>143</v>
      </c>
      <c r="B143">
        <v>19</v>
      </c>
      <c r="C143" t="str">
        <f t="shared" si="25"/>
        <v>Teenager</v>
      </c>
      <c r="D143" t="s">
        <v>21</v>
      </c>
      <c r="E143" t="s">
        <v>14</v>
      </c>
      <c r="F143" t="s">
        <v>192</v>
      </c>
      <c r="G143">
        <v>3.9</v>
      </c>
      <c r="H143" t="str">
        <f t="shared" si="26"/>
        <v>Low Use</v>
      </c>
      <c r="I143" t="s">
        <v>31</v>
      </c>
      <c r="J143" t="s">
        <v>26</v>
      </c>
      <c r="K143">
        <v>8.1</v>
      </c>
      <c r="L143" t="str">
        <f t="shared" si="27"/>
        <v>Sufficient Sleep</v>
      </c>
      <c r="M143">
        <v>7</v>
      </c>
      <c r="N143" t="str">
        <f t="shared" si="28"/>
        <v>Sever</v>
      </c>
      <c r="O143" t="s">
        <v>28</v>
      </c>
      <c r="P143">
        <v>5</v>
      </c>
      <c r="Q143" t="str">
        <f t="shared" si="24"/>
        <v>Medium</v>
      </c>
    </row>
    <row r="144" spans="1:17" hidden="1" x14ac:dyDescent="0.3">
      <c r="A144">
        <v>144</v>
      </c>
      <c r="B144">
        <v>20</v>
      </c>
      <c r="C144" t="str">
        <f t="shared" si="25"/>
        <v>Young Adult</v>
      </c>
      <c r="D144" t="s">
        <v>13</v>
      </c>
      <c r="E144" t="s">
        <v>14</v>
      </c>
      <c r="F144" t="s">
        <v>191</v>
      </c>
      <c r="G144">
        <v>4.5999999999999996</v>
      </c>
      <c r="H144" t="str">
        <f t="shared" si="26"/>
        <v>Moderate Use</v>
      </c>
      <c r="I144" t="s">
        <v>17</v>
      </c>
      <c r="J144" t="s">
        <v>18</v>
      </c>
      <c r="K144">
        <v>7</v>
      </c>
      <c r="L144" t="str">
        <f t="shared" si="27"/>
        <v>Sufficient Sleep</v>
      </c>
      <c r="M144">
        <v>5</v>
      </c>
      <c r="N144" t="str">
        <f t="shared" si="28"/>
        <v>Moderate</v>
      </c>
      <c r="O144" t="s">
        <v>20</v>
      </c>
      <c r="P144">
        <v>8</v>
      </c>
      <c r="Q144" t="str">
        <f t="shared" si="24"/>
        <v>High</v>
      </c>
    </row>
    <row r="145" spans="1:17" hidden="1" x14ac:dyDescent="0.3">
      <c r="A145">
        <v>145</v>
      </c>
      <c r="B145">
        <v>22</v>
      </c>
      <c r="C145" t="str">
        <f t="shared" si="25"/>
        <v>Young Adult</v>
      </c>
      <c r="D145" t="s">
        <v>21</v>
      </c>
      <c r="E145" t="s">
        <v>22</v>
      </c>
      <c r="F145" t="s">
        <v>194</v>
      </c>
      <c r="G145">
        <v>5.0999999999999996</v>
      </c>
      <c r="H145" t="str">
        <f t="shared" si="26"/>
        <v>Moderate Use</v>
      </c>
      <c r="I145" t="s">
        <v>41</v>
      </c>
      <c r="J145" t="s">
        <v>18</v>
      </c>
      <c r="K145">
        <v>5.0999999999999996</v>
      </c>
      <c r="L145" t="str">
        <f t="shared" si="27"/>
        <v>Severly Deficient Sleep</v>
      </c>
      <c r="M145">
        <v>6</v>
      </c>
      <c r="N145" t="str">
        <f t="shared" si="28"/>
        <v>Moderate</v>
      </c>
      <c r="O145" t="s">
        <v>28</v>
      </c>
      <c r="P145">
        <v>7</v>
      </c>
      <c r="Q145" t="str">
        <f t="shared" si="24"/>
        <v>High</v>
      </c>
    </row>
    <row r="146" spans="1:17" hidden="1" x14ac:dyDescent="0.3">
      <c r="A146">
        <v>146</v>
      </c>
      <c r="B146">
        <v>21</v>
      </c>
      <c r="C146" t="str">
        <f t="shared" si="25"/>
        <v>Young Adult</v>
      </c>
      <c r="D146" t="s">
        <v>13</v>
      </c>
      <c r="E146" t="s">
        <v>22</v>
      </c>
      <c r="F146" t="s">
        <v>195</v>
      </c>
      <c r="G146">
        <v>3.8</v>
      </c>
      <c r="H146" t="str">
        <f t="shared" si="26"/>
        <v>Low Use</v>
      </c>
      <c r="I146" t="s">
        <v>17</v>
      </c>
      <c r="J146" t="s">
        <v>26</v>
      </c>
      <c r="K146">
        <v>8.1999999999999993</v>
      </c>
      <c r="L146" t="str">
        <f t="shared" si="27"/>
        <v>Sufficient Sleep</v>
      </c>
      <c r="M146">
        <v>8</v>
      </c>
      <c r="N146" t="str">
        <f t="shared" si="28"/>
        <v>Sever</v>
      </c>
      <c r="O146" t="s">
        <v>20</v>
      </c>
      <c r="P146">
        <v>5</v>
      </c>
      <c r="Q146" t="str">
        <f t="shared" si="24"/>
        <v>Medium</v>
      </c>
    </row>
    <row r="147" spans="1:17" hidden="1" x14ac:dyDescent="0.3">
      <c r="A147">
        <v>147</v>
      </c>
      <c r="B147">
        <v>19</v>
      </c>
      <c r="C147" t="str">
        <f t="shared" si="25"/>
        <v>Teenager</v>
      </c>
      <c r="D147" t="s">
        <v>21</v>
      </c>
      <c r="E147" t="s">
        <v>14</v>
      </c>
      <c r="F147" t="s">
        <v>15</v>
      </c>
      <c r="G147">
        <v>4.5</v>
      </c>
      <c r="H147" t="str">
        <f t="shared" si="26"/>
        <v>Moderate Use</v>
      </c>
      <c r="I147" t="s">
        <v>31</v>
      </c>
      <c r="J147" t="s">
        <v>18</v>
      </c>
      <c r="K147">
        <v>7.1</v>
      </c>
      <c r="L147" t="str">
        <f t="shared" si="27"/>
        <v>Sufficient Sleep</v>
      </c>
      <c r="M147">
        <v>5</v>
      </c>
      <c r="N147" t="str">
        <f t="shared" si="28"/>
        <v>Moderate</v>
      </c>
      <c r="O147" t="s">
        <v>28</v>
      </c>
      <c r="P147">
        <v>8</v>
      </c>
      <c r="Q147" t="str">
        <f t="shared" si="24"/>
        <v>High</v>
      </c>
    </row>
    <row r="148" spans="1:17" x14ac:dyDescent="0.3">
      <c r="A148">
        <v>148</v>
      </c>
      <c r="B148">
        <v>20</v>
      </c>
      <c r="C148" t="str">
        <f t="shared" si="25"/>
        <v>Young Adult</v>
      </c>
      <c r="D148" t="s">
        <v>13</v>
      </c>
      <c r="E148" t="s">
        <v>14</v>
      </c>
      <c r="F148" t="s">
        <v>23</v>
      </c>
      <c r="G148">
        <v>5</v>
      </c>
      <c r="H148" t="str">
        <f t="shared" si="26"/>
        <v>Moderate Use</v>
      </c>
      <c r="I148" t="s">
        <v>17</v>
      </c>
      <c r="J148" t="s">
        <v>18</v>
      </c>
      <c r="K148">
        <v>5</v>
      </c>
      <c r="L148" t="str">
        <f t="shared" si="27"/>
        <v>Severly Deficient Sleep</v>
      </c>
      <c r="M148">
        <v>6</v>
      </c>
      <c r="N148" t="str">
        <f t="shared" si="28"/>
        <v>Moderate</v>
      </c>
      <c r="O148" t="s">
        <v>20</v>
      </c>
      <c r="P148">
        <v>7</v>
      </c>
      <c r="Q148" t="str">
        <f>IF(P148&gt;=7,"High",IF(P148&gt;=6,"Medium","Low"))</f>
        <v>High</v>
      </c>
    </row>
    <row r="149" spans="1:17" hidden="1" x14ac:dyDescent="0.3">
      <c r="A149">
        <v>149</v>
      </c>
      <c r="B149">
        <v>22</v>
      </c>
      <c r="C149" t="str">
        <f t="shared" si="25"/>
        <v>Young Adult</v>
      </c>
      <c r="D149" t="s">
        <v>21</v>
      </c>
      <c r="E149" t="s">
        <v>22</v>
      </c>
      <c r="F149" t="s">
        <v>192</v>
      </c>
      <c r="G149">
        <v>3.7</v>
      </c>
      <c r="H149" t="str">
        <f t="shared" si="26"/>
        <v>Low Use</v>
      </c>
      <c r="I149" t="s">
        <v>41</v>
      </c>
      <c r="J149" t="s">
        <v>26</v>
      </c>
      <c r="K149">
        <v>8.3000000000000007</v>
      </c>
      <c r="L149" t="str">
        <f t="shared" si="27"/>
        <v>Sufficient Sleep</v>
      </c>
      <c r="M149">
        <v>7</v>
      </c>
      <c r="N149" t="str">
        <f t="shared" si="28"/>
        <v>Sever</v>
      </c>
      <c r="O149" t="s">
        <v>28</v>
      </c>
      <c r="P149">
        <v>5</v>
      </c>
      <c r="Q149" t="str">
        <f t="shared" si="24"/>
        <v>Medium</v>
      </c>
    </row>
    <row r="150" spans="1:17" hidden="1" x14ac:dyDescent="0.3">
      <c r="A150">
        <v>150</v>
      </c>
      <c r="B150">
        <v>21</v>
      </c>
      <c r="C150" t="str">
        <f t="shared" si="25"/>
        <v>Young Adult</v>
      </c>
      <c r="D150" t="s">
        <v>13</v>
      </c>
      <c r="E150" t="s">
        <v>22</v>
      </c>
      <c r="F150" t="s">
        <v>191</v>
      </c>
      <c r="G150">
        <v>4.4000000000000004</v>
      </c>
      <c r="H150" t="str">
        <f t="shared" si="26"/>
        <v>Moderate Use</v>
      </c>
      <c r="I150" t="s">
        <v>17</v>
      </c>
      <c r="J150" t="s">
        <v>18</v>
      </c>
      <c r="K150">
        <v>7.2</v>
      </c>
      <c r="L150" t="str">
        <f t="shared" si="27"/>
        <v>Sufficient Sleep</v>
      </c>
      <c r="M150">
        <v>5</v>
      </c>
      <c r="N150" t="str">
        <f t="shared" si="28"/>
        <v>Moderate</v>
      </c>
      <c r="O150" t="s">
        <v>20</v>
      </c>
      <c r="P150">
        <v>8</v>
      </c>
      <c r="Q150" t="str">
        <f t="shared" si="24"/>
        <v>High</v>
      </c>
    </row>
    <row r="151" spans="1:17" hidden="1" x14ac:dyDescent="0.3">
      <c r="A151">
        <v>151</v>
      </c>
      <c r="B151">
        <v>19</v>
      </c>
      <c r="C151" t="str">
        <f t="shared" si="25"/>
        <v>Teenager</v>
      </c>
      <c r="D151" t="s">
        <v>21</v>
      </c>
      <c r="E151" t="s">
        <v>14</v>
      </c>
      <c r="F151" t="s">
        <v>194</v>
      </c>
      <c r="G151">
        <v>4.9000000000000004</v>
      </c>
      <c r="H151" t="str">
        <f t="shared" si="26"/>
        <v>Moderate Use</v>
      </c>
      <c r="I151" t="s">
        <v>31</v>
      </c>
      <c r="J151" t="s">
        <v>18</v>
      </c>
      <c r="K151">
        <v>4.9000000000000004</v>
      </c>
      <c r="L151" t="str">
        <f t="shared" si="27"/>
        <v>Severly Deficient Sleep</v>
      </c>
      <c r="M151">
        <v>6</v>
      </c>
      <c r="N151" t="str">
        <f t="shared" si="28"/>
        <v>Moderate</v>
      </c>
      <c r="O151" t="s">
        <v>28</v>
      </c>
      <c r="P151">
        <v>7</v>
      </c>
      <c r="Q151" t="str">
        <f t="shared" si="24"/>
        <v>High</v>
      </c>
    </row>
    <row r="152" spans="1:17" hidden="1" x14ac:dyDescent="0.3">
      <c r="A152">
        <v>152</v>
      </c>
      <c r="B152">
        <v>20</v>
      </c>
      <c r="C152" t="str">
        <f t="shared" si="25"/>
        <v>Young Adult</v>
      </c>
      <c r="D152" t="s">
        <v>13</v>
      </c>
      <c r="E152" t="s">
        <v>14</v>
      </c>
      <c r="F152" t="s">
        <v>195</v>
      </c>
      <c r="G152">
        <v>3.6</v>
      </c>
      <c r="H152" t="str">
        <f t="shared" si="26"/>
        <v>Low Use</v>
      </c>
      <c r="I152" t="s">
        <v>17</v>
      </c>
      <c r="J152" t="s">
        <v>26</v>
      </c>
      <c r="K152">
        <v>8.4</v>
      </c>
      <c r="L152" t="str">
        <f t="shared" si="27"/>
        <v>Sufficient Sleep</v>
      </c>
      <c r="M152">
        <v>8</v>
      </c>
      <c r="N152" t="str">
        <f t="shared" si="28"/>
        <v>Sever</v>
      </c>
      <c r="O152" t="s">
        <v>20</v>
      </c>
      <c r="P152">
        <v>5</v>
      </c>
      <c r="Q152" t="str">
        <f t="shared" si="24"/>
        <v>Medium</v>
      </c>
    </row>
    <row r="153" spans="1:17" hidden="1" x14ac:dyDescent="0.3">
      <c r="A153">
        <v>153</v>
      </c>
      <c r="B153">
        <v>22</v>
      </c>
      <c r="C153" t="str">
        <f t="shared" si="25"/>
        <v>Young Adult</v>
      </c>
      <c r="D153" t="s">
        <v>21</v>
      </c>
      <c r="E153" t="s">
        <v>22</v>
      </c>
      <c r="F153" t="s">
        <v>15</v>
      </c>
      <c r="G153">
        <v>4.3</v>
      </c>
      <c r="H153" t="str">
        <f t="shared" si="26"/>
        <v>Moderate Use</v>
      </c>
      <c r="I153" t="s">
        <v>41</v>
      </c>
      <c r="J153" t="s">
        <v>18</v>
      </c>
      <c r="K153">
        <v>7.3</v>
      </c>
      <c r="L153" t="str">
        <f t="shared" si="27"/>
        <v>Sufficient Sleep</v>
      </c>
      <c r="M153">
        <v>5</v>
      </c>
      <c r="N153" t="str">
        <f t="shared" si="28"/>
        <v>Moderate</v>
      </c>
      <c r="O153" t="s">
        <v>28</v>
      </c>
      <c r="P153">
        <v>8</v>
      </c>
      <c r="Q153" t="str">
        <f t="shared" si="24"/>
        <v>High</v>
      </c>
    </row>
    <row r="154" spans="1:17" x14ac:dyDescent="0.3">
      <c r="A154">
        <v>154</v>
      </c>
      <c r="B154">
        <v>21</v>
      </c>
      <c r="C154" t="str">
        <f t="shared" si="25"/>
        <v>Young Adult</v>
      </c>
      <c r="D154" t="s">
        <v>13</v>
      </c>
      <c r="E154" t="s">
        <v>22</v>
      </c>
      <c r="F154" t="s">
        <v>23</v>
      </c>
      <c r="G154">
        <v>4.8</v>
      </c>
      <c r="H154" t="str">
        <f t="shared" si="26"/>
        <v>Moderate Use</v>
      </c>
      <c r="I154" t="s">
        <v>17</v>
      </c>
      <c r="J154" t="s">
        <v>18</v>
      </c>
      <c r="K154">
        <v>4.8</v>
      </c>
      <c r="L154" t="str">
        <f t="shared" si="27"/>
        <v>Severly Deficient Sleep</v>
      </c>
      <c r="M154">
        <v>6</v>
      </c>
      <c r="N154" t="str">
        <f t="shared" si="28"/>
        <v>Moderate</v>
      </c>
      <c r="O154" t="s">
        <v>20</v>
      </c>
      <c r="P154">
        <v>7</v>
      </c>
      <c r="Q154" t="str">
        <f>IF(P154&gt;=7,"High",IF(P154&gt;=6,"Medium","Low"))</f>
        <v>High</v>
      </c>
    </row>
    <row r="155" spans="1:17" hidden="1" x14ac:dyDescent="0.3">
      <c r="A155">
        <v>155</v>
      </c>
      <c r="B155">
        <v>19</v>
      </c>
      <c r="C155" t="str">
        <f t="shared" si="25"/>
        <v>Teenager</v>
      </c>
      <c r="D155" t="s">
        <v>21</v>
      </c>
      <c r="E155" t="s">
        <v>14</v>
      </c>
      <c r="F155" t="s">
        <v>192</v>
      </c>
      <c r="G155">
        <v>3.5</v>
      </c>
      <c r="H155" t="str">
        <f t="shared" si="26"/>
        <v>Low Use</v>
      </c>
      <c r="I155" t="s">
        <v>31</v>
      </c>
      <c r="J155" t="s">
        <v>26</v>
      </c>
      <c r="K155">
        <v>8.5</v>
      </c>
      <c r="L155" t="str">
        <f t="shared" si="27"/>
        <v>Sufficient Sleep</v>
      </c>
      <c r="M155">
        <v>7</v>
      </c>
      <c r="N155" t="str">
        <f t="shared" si="28"/>
        <v>Sever</v>
      </c>
      <c r="O155" t="s">
        <v>28</v>
      </c>
      <c r="P155">
        <v>5</v>
      </c>
      <c r="Q155" t="str">
        <f t="shared" si="24"/>
        <v>Medium</v>
      </c>
    </row>
    <row r="156" spans="1:17" hidden="1" x14ac:dyDescent="0.3">
      <c r="A156">
        <v>156</v>
      </c>
      <c r="B156">
        <v>20</v>
      </c>
      <c r="C156" t="str">
        <f t="shared" si="25"/>
        <v>Young Adult</v>
      </c>
      <c r="D156" t="s">
        <v>13</v>
      </c>
      <c r="E156" t="s">
        <v>14</v>
      </c>
      <c r="F156" t="s">
        <v>191</v>
      </c>
      <c r="G156">
        <v>4.2</v>
      </c>
      <c r="H156" t="str">
        <f t="shared" si="26"/>
        <v>Moderate Use</v>
      </c>
      <c r="I156" t="s">
        <v>17</v>
      </c>
      <c r="J156" t="s">
        <v>18</v>
      </c>
      <c r="K156">
        <v>7.4</v>
      </c>
      <c r="L156" t="str">
        <f t="shared" si="27"/>
        <v>Sufficient Sleep</v>
      </c>
      <c r="M156">
        <v>5</v>
      </c>
      <c r="N156" t="str">
        <f t="shared" si="28"/>
        <v>Moderate</v>
      </c>
      <c r="O156" t="s">
        <v>20</v>
      </c>
      <c r="P156">
        <v>8</v>
      </c>
      <c r="Q156" t="str">
        <f t="shared" si="24"/>
        <v>High</v>
      </c>
    </row>
    <row r="157" spans="1:17" hidden="1" x14ac:dyDescent="0.3">
      <c r="A157">
        <v>157</v>
      </c>
      <c r="B157">
        <v>22</v>
      </c>
      <c r="C157" t="str">
        <f t="shared" si="25"/>
        <v>Young Adult</v>
      </c>
      <c r="D157" t="s">
        <v>21</v>
      </c>
      <c r="E157" t="s">
        <v>22</v>
      </c>
      <c r="F157" t="s">
        <v>194</v>
      </c>
      <c r="G157">
        <v>4.7</v>
      </c>
      <c r="H157" t="str">
        <f t="shared" si="26"/>
        <v>Moderate Use</v>
      </c>
      <c r="I157" t="s">
        <v>41</v>
      </c>
      <c r="J157" t="s">
        <v>18</v>
      </c>
      <c r="K157">
        <v>4.7</v>
      </c>
      <c r="L157" t="str">
        <f t="shared" si="27"/>
        <v>Severly Deficient Sleep</v>
      </c>
      <c r="M157">
        <v>6</v>
      </c>
      <c r="N157" t="str">
        <f t="shared" si="28"/>
        <v>Moderate</v>
      </c>
      <c r="O157" t="s">
        <v>28</v>
      </c>
      <c r="P157">
        <v>7</v>
      </c>
      <c r="Q157" t="str">
        <f t="shared" si="24"/>
        <v>High</v>
      </c>
    </row>
    <row r="158" spans="1:17" hidden="1" x14ac:dyDescent="0.3">
      <c r="A158">
        <v>158</v>
      </c>
      <c r="B158">
        <v>21</v>
      </c>
      <c r="C158" t="str">
        <f t="shared" si="25"/>
        <v>Young Adult</v>
      </c>
      <c r="D158" t="s">
        <v>13</v>
      </c>
      <c r="E158" t="s">
        <v>22</v>
      </c>
      <c r="F158" t="s">
        <v>195</v>
      </c>
      <c r="G158">
        <v>3.4</v>
      </c>
      <c r="H158" t="str">
        <f t="shared" si="26"/>
        <v>Low Use</v>
      </c>
      <c r="I158" t="s">
        <v>17</v>
      </c>
      <c r="J158" t="s">
        <v>26</v>
      </c>
      <c r="K158">
        <v>8.6</v>
      </c>
      <c r="L158" t="str">
        <f t="shared" si="27"/>
        <v>Sufficient Sleep</v>
      </c>
      <c r="M158">
        <v>8</v>
      </c>
      <c r="N158" t="str">
        <f t="shared" si="28"/>
        <v>Sever</v>
      </c>
      <c r="O158" t="s">
        <v>20</v>
      </c>
      <c r="P158">
        <v>5</v>
      </c>
      <c r="Q158" t="str">
        <f t="shared" si="24"/>
        <v>Medium</v>
      </c>
    </row>
    <row r="159" spans="1:17" hidden="1" x14ac:dyDescent="0.3">
      <c r="A159">
        <v>159</v>
      </c>
      <c r="B159">
        <v>19</v>
      </c>
      <c r="C159" t="str">
        <f t="shared" si="25"/>
        <v>Teenager</v>
      </c>
      <c r="D159" t="s">
        <v>21</v>
      </c>
      <c r="E159" t="s">
        <v>14</v>
      </c>
      <c r="F159" t="s">
        <v>15</v>
      </c>
      <c r="G159">
        <v>4.0999999999999996</v>
      </c>
      <c r="H159" t="str">
        <f t="shared" si="26"/>
        <v>Moderate Use</v>
      </c>
      <c r="I159" t="s">
        <v>31</v>
      </c>
      <c r="J159" t="s">
        <v>18</v>
      </c>
      <c r="K159">
        <v>7.5</v>
      </c>
      <c r="L159" t="str">
        <f t="shared" si="27"/>
        <v>Sufficient Sleep</v>
      </c>
      <c r="M159">
        <v>5</v>
      </c>
      <c r="N159" t="str">
        <f t="shared" si="28"/>
        <v>Moderate</v>
      </c>
      <c r="O159" t="s">
        <v>28</v>
      </c>
      <c r="P159">
        <v>8</v>
      </c>
      <c r="Q159" t="str">
        <f t="shared" si="24"/>
        <v>High</v>
      </c>
    </row>
    <row r="160" spans="1:17" x14ac:dyDescent="0.3">
      <c r="A160">
        <v>160</v>
      </c>
      <c r="B160">
        <v>20</v>
      </c>
      <c r="C160" t="str">
        <f t="shared" si="25"/>
        <v>Young Adult</v>
      </c>
      <c r="D160" t="s">
        <v>13</v>
      </c>
      <c r="E160" t="s">
        <v>14</v>
      </c>
      <c r="F160" t="s">
        <v>23</v>
      </c>
      <c r="G160">
        <v>4.5999999999999996</v>
      </c>
      <c r="H160" t="str">
        <f t="shared" si="26"/>
        <v>Moderate Use</v>
      </c>
      <c r="I160" t="s">
        <v>17</v>
      </c>
      <c r="J160" t="s">
        <v>18</v>
      </c>
      <c r="K160">
        <v>4.5999999999999996</v>
      </c>
      <c r="L160" t="str">
        <f t="shared" si="27"/>
        <v>Severly Deficient Sleep</v>
      </c>
      <c r="M160">
        <v>6</v>
      </c>
      <c r="N160" t="str">
        <f t="shared" si="28"/>
        <v>Moderate</v>
      </c>
      <c r="O160" t="s">
        <v>20</v>
      </c>
      <c r="P160">
        <v>7</v>
      </c>
      <c r="Q160" t="str">
        <f>IF(P160&gt;=7,"High",IF(P160&gt;=6,"Medium","Low"))</f>
        <v>High</v>
      </c>
    </row>
    <row r="161" spans="1:17" hidden="1" x14ac:dyDescent="0.3">
      <c r="A161">
        <v>161</v>
      </c>
      <c r="B161">
        <v>19</v>
      </c>
      <c r="C161" t="str">
        <f t="shared" si="25"/>
        <v>Teenager</v>
      </c>
      <c r="D161" t="s">
        <v>13</v>
      </c>
      <c r="E161" t="s">
        <v>14</v>
      </c>
      <c r="F161" t="s">
        <v>15</v>
      </c>
      <c r="G161">
        <v>5.3</v>
      </c>
      <c r="H161" t="str">
        <f t="shared" si="26"/>
        <v>Moderate Use</v>
      </c>
      <c r="I161" t="s">
        <v>17</v>
      </c>
      <c r="J161" t="s">
        <v>18</v>
      </c>
      <c r="K161">
        <v>6.1</v>
      </c>
      <c r="L161" t="str">
        <f t="shared" si="27"/>
        <v>Severly Deficient Sleep</v>
      </c>
      <c r="M161">
        <v>5</v>
      </c>
      <c r="N161" t="str">
        <f t="shared" si="28"/>
        <v>Moderate</v>
      </c>
      <c r="O161" t="s">
        <v>28</v>
      </c>
      <c r="P161">
        <v>7</v>
      </c>
      <c r="Q161" t="str">
        <f t="shared" si="24"/>
        <v>High</v>
      </c>
    </row>
    <row r="162" spans="1:17" x14ac:dyDescent="0.3">
      <c r="A162">
        <v>162</v>
      </c>
      <c r="B162">
        <v>21</v>
      </c>
      <c r="C162" t="str">
        <f t="shared" si="25"/>
        <v>Young Adult</v>
      </c>
      <c r="D162" t="s">
        <v>21</v>
      </c>
      <c r="E162" t="s">
        <v>22</v>
      </c>
      <c r="F162" t="s">
        <v>23</v>
      </c>
      <c r="G162">
        <v>4.8</v>
      </c>
      <c r="H162" t="str">
        <f t="shared" si="26"/>
        <v>Moderate Use</v>
      </c>
      <c r="I162" t="s">
        <v>41</v>
      </c>
      <c r="J162" t="s">
        <v>26</v>
      </c>
      <c r="K162">
        <v>7.2</v>
      </c>
      <c r="L162" t="str">
        <f t="shared" si="27"/>
        <v>Sufficient Sleep</v>
      </c>
      <c r="M162">
        <v>7</v>
      </c>
      <c r="N162" t="str">
        <f t="shared" si="28"/>
        <v>Sever</v>
      </c>
      <c r="O162" t="s">
        <v>20</v>
      </c>
      <c r="P162">
        <v>6</v>
      </c>
      <c r="Q162" t="str">
        <f>IF(P162&gt;=7,"High",IF(P162&gt;=6,"Medium","Low"))</f>
        <v>Medium</v>
      </c>
    </row>
    <row r="163" spans="1:17" hidden="1" x14ac:dyDescent="0.3">
      <c r="A163">
        <v>163</v>
      </c>
      <c r="B163">
        <v>20</v>
      </c>
      <c r="C163" t="str">
        <f t="shared" si="25"/>
        <v>Young Adult</v>
      </c>
      <c r="D163" t="s">
        <v>13</v>
      </c>
      <c r="E163" t="s">
        <v>14</v>
      </c>
      <c r="F163" t="s">
        <v>192</v>
      </c>
      <c r="G163">
        <v>5.5</v>
      </c>
      <c r="H163" t="str">
        <f t="shared" si="26"/>
        <v>Moderate Use</v>
      </c>
      <c r="I163" t="s">
        <v>31</v>
      </c>
      <c r="J163" t="s">
        <v>18</v>
      </c>
      <c r="K163">
        <v>5.9</v>
      </c>
      <c r="L163" t="str">
        <f t="shared" si="27"/>
        <v>Severly Deficient Sleep</v>
      </c>
      <c r="M163">
        <v>6</v>
      </c>
      <c r="N163" t="str">
        <f t="shared" si="28"/>
        <v>Moderate</v>
      </c>
      <c r="O163" t="s">
        <v>28</v>
      </c>
      <c r="P163">
        <v>8</v>
      </c>
      <c r="Q163" t="str">
        <f t="shared" si="24"/>
        <v>High</v>
      </c>
    </row>
    <row r="164" spans="1:17" hidden="1" x14ac:dyDescent="0.3">
      <c r="A164">
        <v>164</v>
      </c>
      <c r="B164">
        <v>22</v>
      </c>
      <c r="C164" t="str">
        <f t="shared" si="25"/>
        <v>Young Adult</v>
      </c>
      <c r="D164" t="s">
        <v>21</v>
      </c>
      <c r="E164" t="s">
        <v>22</v>
      </c>
      <c r="F164" t="s">
        <v>191</v>
      </c>
      <c r="G164">
        <v>4.7</v>
      </c>
      <c r="H164" t="str">
        <f t="shared" si="26"/>
        <v>Moderate Use</v>
      </c>
      <c r="I164" t="s">
        <v>17</v>
      </c>
      <c r="J164" t="s">
        <v>18</v>
      </c>
      <c r="K164">
        <v>6.3</v>
      </c>
      <c r="L164" t="str">
        <f t="shared" si="27"/>
        <v>Severly Deficient Sleep</v>
      </c>
      <c r="M164">
        <v>5</v>
      </c>
      <c r="N164" t="str">
        <f t="shared" si="28"/>
        <v>Moderate</v>
      </c>
      <c r="O164" t="s">
        <v>20</v>
      </c>
      <c r="P164">
        <v>7</v>
      </c>
      <c r="Q164" t="str">
        <f t="shared" si="24"/>
        <v>High</v>
      </c>
    </row>
    <row r="165" spans="1:17" hidden="1" x14ac:dyDescent="0.3">
      <c r="A165">
        <v>165</v>
      </c>
      <c r="B165">
        <v>19</v>
      </c>
      <c r="C165" t="str">
        <f t="shared" si="25"/>
        <v>Teenager</v>
      </c>
      <c r="D165" t="s">
        <v>13</v>
      </c>
      <c r="E165" t="s">
        <v>14</v>
      </c>
      <c r="F165" t="s">
        <v>194</v>
      </c>
      <c r="G165">
        <v>5.0999999999999996</v>
      </c>
      <c r="H165" t="str">
        <f t="shared" si="26"/>
        <v>Moderate Use</v>
      </c>
      <c r="I165" t="s">
        <v>41</v>
      </c>
      <c r="J165" t="s">
        <v>26</v>
      </c>
      <c r="K165">
        <v>7</v>
      </c>
      <c r="L165" t="str">
        <f t="shared" si="27"/>
        <v>Sufficient Sleep</v>
      </c>
      <c r="M165">
        <v>7</v>
      </c>
      <c r="N165" t="str">
        <f t="shared" si="28"/>
        <v>Sever</v>
      </c>
      <c r="O165" t="s">
        <v>28</v>
      </c>
      <c r="P165">
        <v>5</v>
      </c>
      <c r="Q165" t="str">
        <f t="shared" si="24"/>
        <v>Medium</v>
      </c>
    </row>
    <row r="166" spans="1:17" hidden="1" x14ac:dyDescent="0.3">
      <c r="A166">
        <v>166</v>
      </c>
      <c r="B166">
        <v>21</v>
      </c>
      <c r="C166" t="str">
        <f t="shared" si="25"/>
        <v>Young Adult</v>
      </c>
      <c r="D166" t="s">
        <v>21</v>
      </c>
      <c r="E166" t="s">
        <v>22</v>
      </c>
      <c r="F166" t="s">
        <v>195</v>
      </c>
      <c r="G166">
        <v>5.4</v>
      </c>
      <c r="H166" t="str">
        <f t="shared" si="26"/>
        <v>Moderate Use</v>
      </c>
      <c r="I166" t="s">
        <v>31</v>
      </c>
      <c r="J166" t="s">
        <v>18</v>
      </c>
      <c r="K166">
        <v>6</v>
      </c>
      <c r="L166" t="str">
        <f t="shared" si="27"/>
        <v>Severly Deficient Sleep</v>
      </c>
      <c r="M166">
        <v>6</v>
      </c>
      <c r="N166" t="str">
        <f t="shared" si="28"/>
        <v>Moderate</v>
      </c>
      <c r="O166" t="s">
        <v>20</v>
      </c>
      <c r="P166">
        <v>8</v>
      </c>
      <c r="Q166" t="str">
        <f t="shared" si="24"/>
        <v>High</v>
      </c>
    </row>
    <row r="167" spans="1:17" hidden="1" x14ac:dyDescent="0.3">
      <c r="A167">
        <v>167</v>
      </c>
      <c r="B167">
        <v>20</v>
      </c>
      <c r="C167" t="str">
        <f t="shared" si="25"/>
        <v>Young Adult</v>
      </c>
      <c r="D167" t="s">
        <v>13</v>
      </c>
      <c r="E167" t="s">
        <v>14</v>
      </c>
      <c r="F167" t="s">
        <v>15</v>
      </c>
      <c r="G167">
        <v>4.9000000000000004</v>
      </c>
      <c r="H167" t="str">
        <f t="shared" si="26"/>
        <v>Moderate Use</v>
      </c>
      <c r="I167" t="s">
        <v>17</v>
      </c>
      <c r="J167" t="s">
        <v>18</v>
      </c>
      <c r="K167">
        <v>6.4</v>
      </c>
      <c r="L167" t="str">
        <f t="shared" si="27"/>
        <v>Severly Deficient Sleep</v>
      </c>
      <c r="M167">
        <v>5</v>
      </c>
      <c r="N167" t="str">
        <f t="shared" si="28"/>
        <v>Moderate</v>
      </c>
      <c r="O167" t="s">
        <v>28</v>
      </c>
      <c r="P167">
        <v>7</v>
      </c>
      <c r="Q167" t="str">
        <f t="shared" si="24"/>
        <v>High</v>
      </c>
    </row>
    <row r="168" spans="1:17" x14ac:dyDescent="0.3">
      <c r="A168">
        <v>168</v>
      </c>
      <c r="B168">
        <v>22</v>
      </c>
      <c r="C168" t="str">
        <f t="shared" si="25"/>
        <v>Young Adult</v>
      </c>
      <c r="D168" t="s">
        <v>21</v>
      </c>
      <c r="E168" t="s">
        <v>22</v>
      </c>
      <c r="F168" t="s">
        <v>23</v>
      </c>
      <c r="G168">
        <v>5.2</v>
      </c>
      <c r="H168" t="str">
        <f t="shared" si="26"/>
        <v>Moderate Use</v>
      </c>
      <c r="I168" t="s">
        <v>41</v>
      </c>
      <c r="J168" t="s">
        <v>26</v>
      </c>
      <c r="K168">
        <v>7.1</v>
      </c>
      <c r="L168" t="str">
        <f t="shared" si="27"/>
        <v>Sufficient Sleep</v>
      </c>
      <c r="M168">
        <v>7</v>
      </c>
      <c r="N168" t="str">
        <f t="shared" si="28"/>
        <v>Sever</v>
      </c>
      <c r="O168" t="s">
        <v>20</v>
      </c>
      <c r="P168">
        <v>6</v>
      </c>
      <c r="Q168" t="str">
        <f>IF(P168&gt;=7,"High",IF(P168&gt;=6,"Medium","Low"))</f>
        <v>Medium</v>
      </c>
    </row>
    <row r="169" spans="1:17" hidden="1" x14ac:dyDescent="0.3">
      <c r="A169">
        <v>169</v>
      </c>
      <c r="B169">
        <v>19</v>
      </c>
      <c r="C169" t="str">
        <f t="shared" si="25"/>
        <v>Teenager</v>
      </c>
      <c r="D169" t="s">
        <v>13</v>
      </c>
      <c r="E169" t="s">
        <v>14</v>
      </c>
      <c r="F169" t="s">
        <v>192</v>
      </c>
      <c r="G169">
        <v>5.6</v>
      </c>
      <c r="H169" t="str">
        <f t="shared" si="26"/>
        <v>Moderate Use</v>
      </c>
      <c r="I169" t="s">
        <v>31</v>
      </c>
      <c r="J169" t="s">
        <v>18</v>
      </c>
      <c r="K169">
        <v>5.8</v>
      </c>
      <c r="L169" t="str">
        <f t="shared" si="27"/>
        <v>Severly Deficient Sleep</v>
      </c>
      <c r="M169">
        <v>6</v>
      </c>
      <c r="N169" t="str">
        <f t="shared" si="28"/>
        <v>Moderate</v>
      </c>
      <c r="O169" t="s">
        <v>28</v>
      </c>
      <c r="P169">
        <v>8</v>
      </c>
      <c r="Q169" t="str">
        <f t="shared" si="24"/>
        <v>High</v>
      </c>
    </row>
    <row r="170" spans="1:17" hidden="1" x14ac:dyDescent="0.3">
      <c r="A170">
        <v>170</v>
      </c>
      <c r="B170">
        <v>21</v>
      </c>
      <c r="C170" t="str">
        <f t="shared" si="25"/>
        <v>Young Adult</v>
      </c>
      <c r="D170" t="s">
        <v>21</v>
      </c>
      <c r="E170" t="s">
        <v>22</v>
      </c>
      <c r="F170" t="s">
        <v>191</v>
      </c>
      <c r="G170">
        <v>4.5999999999999996</v>
      </c>
      <c r="H170" t="str">
        <f t="shared" si="26"/>
        <v>Moderate Use</v>
      </c>
      <c r="I170" t="s">
        <v>17</v>
      </c>
      <c r="J170" t="s">
        <v>18</v>
      </c>
      <c r="K170">
        <v>6.5</v>
      </c>
      <c r="L170" t="str">
        <f t="shared" si="27"/>
        <v>Severly Deficient Sleep</v>
      </c>
      <c r="M170">
        <v>5</v>
      </c>
      <c r="N170" t="str">
        <f t="shared" si="28"/>
        <v>Moderate</v>
      </c>
      <c r="O170" t="s">
        <v>20</v>
      </c>
      <c r="P170">
        <v>7</v>
      </c>
      <c r="Q170" t="str">
        <f t="shared" si="24"/>
        <v>High</v>
      </c>
    </row>
    <row r="171" spans="1:17" hidden="1" x14ac:dyDescent="0.3">
      <c r="A171">
        <v>171</v>
      </c>
      <c r="B171">
        <v>20</v>
      </c>
      <c r="C171" t="str">
        <f t="shared" si="25"/>
        <v>Young Adult</v>
      </c>
      <c r="D171" t="s">
        <v>13</v>
      </c>
      <c r="E171" t="s">
        <v>14</v>
      </c>
      <c r="F171" t="s">
        <v>194</v>
      </c>
      <c r="G171">
        <v>5</v>
      </c>
      <c r="H171" t="str">
        <f t="shared" si="26"/>
        <v>Moderate Use</v>
      </c>
      <c r="I171" t="s">
        <v>41</v>
      </c>
      <c r="J171" t="s">
        <v>26</v>
      </c>
      <c r="K171">
        <v>7.3</v>
      </c>
      <c r="L171" t="str">
        <f t="shared" si="27"/>
        <v>Sufficient Sleep</v>
      </c>
      <c r="M171">
        <v>7</v>
      </c>
      <c r="N171" t="str">
        <f t="shared" si="28"/>
        <v>Sever</v>
      </c>
      <c r="O171" t="s">
        <v>28</v>
      </c>
      <c r="P171">
        <v>5</v>
      </c>
      <c r="Q171" t="str">
        <f t="shared" si="24"/>
        <v>Medium</v>
      </c>
    </row>
    <row r="172" spans="1:17" hidden="1" x14ac:dyDescent="0.3">
      <c r="A172">
        <v>172</v>
      </c>
      <c r="B172">
        <v>22</v>
      </c>
      <c r="C172" t="str">
        <f t="shared" si="25"/>
        <v>Young Adult</v>
      </c>
      <c r="D172" t="s">
        <v>21</v>
      </c>
      <c r="E172" t="s">
        <v>22</v>
      </c>
      <c r="F172" t="s">
        <v>195</v>
      </c>
      <c r="G172">
        <v>5.3</v>
      </c>
      <c r="H172" t="str">
        <f t="shared" si="26"/>
        <v>Moderate Use</v>
      </c>
      <c r="I172" t="s">
        <v>31</v>
      </c>
      <c r="J172" t="s">
        <v>18</v>
      </c>
      <c r="K172">
        <v>5.7</v>
      </c>
      <c r="L172" t="str">
        <f t="shared" si="27"/>
        <v>Severly Deficient Sleep</v>
      </c>
      <c r="M172">
        <v>6</v>
      </c>
      <c r="N172" t="str">
        <f t="shared" si="28"/>
        <v>Moderate</v>
      </c>
      <c r="O172" t="s">
        <v>20</v>
      </c>
      <c r="P172">
        <v>8</v>
      </c>
      <c r="Q172" t="str">
        <f t="shared" si="24"/>
        <v>High</v>
      </c>
    </row>
    <row r="173" spans="1:17" hidden="1" x14ac:dyDescent="0.3">
      <c r="A173">
        <v>173</v>
      </c>
      <c r="B173">
        <v>19</v>
      </c>
      <c r="C173" t="str">
        <f t="shared" si="25"/>
        <v>Teenager</v>
      </c>
      <c r="D173" t="s">
        <v>13</v>
      </c>
      <c r="E173" t="s">
        <v>14</v>
      </c>
      <c r="F173" t="s">
        <v>15</v>
      </c>
      <c r="G173">
        <v>4.8</v>
      </c>
      <c r="H173" t="str">
        <f t="shared" si="26"/>
        <v>Moderate Use</v>
      </c>
      <c r="I173" t="s">
        <v>17</v>
      </c>
      <c r="J173" t="s">
        <v>18</v>
      </c>
      <c r="K173">
        <v>6.6</v>
      </c>
      <c r="L173" t="str">
        <f t="shared" si="27"/>
        <v>Severly Deficient Sleep</v>
      </c>
      <c r="M173">
        <v>5</v>
      </c>
      <c r="N173" t="str">
        <f t="shared" si="28"/>
        <v>Moderate</v>
      </c>
      <c r="O173" t="s">
        <v>28</v>
      </c>
      <c r="P173">
        <v>7</v>
      </c>
      <c r="Q173" t="str">
        <f t="shared" si="24"/>
        <v>High</v>
      </c>
    </row>
    <row r="174" spans="1:17" x14ac:dyDescent="0.3">
      <c r="A174">
        <v>174</v>
      </c>
      <c r="B174">
        <v>21</v>
      </c>
      <c r="C174" t="str">
        <f t="shared" si="25"/>
        <v>Young Adult</v>
      </c>
      <c r="D174" t="s">
        <v>21</v>
      </c>
      <c r="E174" t="s">
        <v>22</v>
      </c>
      <c r="F174" t="s">
        <v>23</v>
      </c>
      <c r="G174">
        <v>5.0999999999999996</v>
      </c>
      <c r="H174" t="str">
        <f t="shared" si="26"/>
        <v>Moderate Use</v>
      </c>
      <c r="I174" t="s">
        <v>41</v>
      </c>
      <c r="J174" t="s">
        <v>26</v>
      </c>
      <c r="K174">
        <v>7.4</v>
      </c>
      <c r="L174" t="str">
        <f t="shared" si="27"/>
        <v>Sufficient Sleep</v>
      </c>
      <c r="M174">
        <v>7</v>
      </c>
      <c r="N174" t="str">
        <f t="shared" si="28"/>
        <v>Sever</v>
      </c>
      <c r="O174" t="s">
        <v>20</v>
      </c>
      <c r="P174">
        <v>6</v>
      </c>
      <c r="Q174" t="str">
        <f>IF(P174&gt;=7,"High",IF(P174&gt;=6,"Medium","Low"))</f>
        <v>Medium</v>
      </c>
    </row>
    <row r="175" spans="1:17" hidden="1" x14ac:dyDescent="0.3">
      <c r="A175">
        <v>175</v>
      </c>
      <c r="B175">
        <v>20</v>
      </c>
      <c r="C175" t="str">
        <f t="shared" si="25"/>
        <v>Young Adult</v>
      </c>
      <c r="D175" t="s">
        <v>13</v>
      </c>
      <c r="E175" t="s">
        <v>14</v>
      </c>
      <c r="F175" t="s">
        <v>192</v>
      </c>
      <c r="G175">
        <v>5.7</v>
      </c>
      <c r="H175" t="str">
        <f t="shared" si="26"/>
        <v>Moderate Use</v>
      </c>
      <c r="I175" t="s">
        <v>31</v>
      </c>
      <c r="J175" t="s">
        <v>18</v>
      </c>
      <c r="K175">
        <v>5.6</v>
      </c>
      <c r="L175" t="str">
        <f t="shared" si="27"/>
        <v>Severly Deficient Sleep</v>
      </c>
      <c r="M175">
        <v>6</v>
      </c>
      <c r="N175" t="str">
        <f t="shared" si="28"/>
        <v>Moderate</v>
      </c>
      <c r="O175" t="s">
        <v>28</v>
      </c>
      <c r="P175">
        <v>8</v>
      </c>
      <c r="Q175" t="str">
        <f t="shared" ref="Q174:Q224" si="29">IF(P175&gt;=7,"High",IF(P175&gt;=5,"Medium","Low"))</f>
        <v>High</v>
      </c>
    </row>
    <row r="176" spans="1:17" hidden="1" x14ac:dyDescent="0.3">
      <c r="A176">
        <v>176</v>
      </c>
      <c r="B176">
        <v>22</v>
      </c>
      <c r="C176" t="str">
        <f t="shared" si="25"/>
        <v>Young Adult</v>
      </c>
      <c r="D176" t="s">
        <v>21</v>
      </c>
      <c r="E176" t="s">
        <v>22</v>
      </c>
      <c r="F176" t="s">
        <v>191</v>
      </c>
      <c r="G176">
        <v>4.5</v>
      </c>
      <c r="H176" t="str">
        <f t="shared" si="26"/>
        <v>Moderate Use</v>
      </c>
      <c r="I176" t="s">
        <v>17</v>
      </c>
      <c r="J176" t="s">
        <v>18</v>
      </c>
      <c r="K176">
        <v>6.7</v>
      </c>
      <c r="L176" t="str">
        <f t="shared" si="27"/>
        <v>Severly Deficient Sleep</v>
      </c>
      <c r="M176">
        <v>5</v>
      </c>
      <c r="N176" t="str">
        <f t="shared" si="28"/>
        <v>Moderate</v>
      </c>
      <c r="O176" t="s">
        <v>20</v>
      </c>
      <c r="P176">
        <v>7</v>
      </c>
      <c r="Q176" t="str">
        <f t="shared" si="29"/>
        <v>High</v>
      </c>
    </row>
    <row r="177" spans="1:17" hidden="1" x14ac:dyDescent="0.3">
      <c r="A177">
        <v>177</v>
      </c>
      <c r="B177">
        <v>19</v>
      </c>
      <c r="C177" t="str">
        <f t="shared" si="25"/>
        <v>Teenager</v>
      </c>
      <c r="D177" t="s">
        <v>13</v>
      </c>
      <c r="E177" t="s">
        <v>14</v>
      </c>
      <c r="F177" t="s">
        <v>194</v>
      </c>
      <c r="G177">
        <v>4.9000000000000004</v>
      </c>
      <c r="H177" t="str">
        <f t="shared" si="26"/>
        <v>Moderate Use</v>
      </c>
      <c r="I177" t="s">
        <v>41</v>
      </c>
      <c r="J177" t="s">
        <v>26</v>
      </c>
      <c r="K177">
        <v>7.5</v>
      </c>
      <c r="L177" t="str">
        <f t="shared" si="27"/>
        <v>Sufficient Sleep</v>
      </c>
      <c r="M177">
        <v>7</v>
      </c>
      <c r="N177" t="str">
        <f t="shared" si="28"/>
        <v>Sever</v>
      </c>
      <c r="O177" t="s">
        <v>28</v>
      </c>
      <c r="P177">
        <v>5</v>
      </c>
      <c r="Q177" t="str">
        <f t="shared" si="29"/>
        <v>Medium</v>
      </c>
    </row>
    <row r="178" spans="1:17" hidden="1" x14ac:dyDescent="0.3">
      <c r="A178">
        <v>178</v>
      </c>
      <c r="B178">
        <v>21</v>
      </c>
      <c r="C178" t="str">
        <f t="shared" si="25"/>
        <v>Young Adult</v>
      </c>
      <c r="D178" t="s">
        <v>21</v>
      </c>
      <c r="E178" t="s">
        <v>22</v>
      </c>
      <c r="F178" t="s">
        <v>195</v>
      </c>
      <c r="G178">
        <v>5.2</v>
      </c>
      <c r="H178" t="str">
        <f t="shared" si="26"/>
        <v>Moderate Use</v>
      </c>
      <c r="I178" t="s">
        <v>31</v>
      </c>
      <c r="J178" t="s">
        <v>18</v>
      </c>
      <c r="K178">
        <v>5.5</v>
      </c>
      <c r="L178" t="str">
        <f t="shared" si="27"/>
        <v>Severly Deficient Sleep</v>
      </c>
      <c r="M178">
        <v>6</v>
      </c>
      <c r="N178" t="str">
        <f t="shared" si="28"/>
        <v>Moderate</v>
      </c>
      <c r="O178" t="s">
        <v>20</v>
      </c>
      <c r="P178">
        <v>8</v>
      </c>
      <c r="Q178" t="str">
        <f t="shared" si="29"/>
        <v>High</v>
      </c>
    </row>
    <row r="179" spans="1:17" hidden="1" x14ac:dyDescent="0.3">
      <c r="A179">
        <v>179</v>
      </c>
      <c r="B179">
        <v>20</v>
      </c>
      <c r="C179" t="str">
        <f t="shared" si="25"/>
        <v>Young Adult</v>
      </c>
      <c r="D179" t="s">
        <v>13</v>
      </c>
      <c r="E179" t="s">
        <v>14</v>
      </c>
      <c r="F179" t="s">
        <v>15</v>
      </c>
      <c r="G179">
        <v>4.7</v>
      </c>
      <c r="H179" t="str">
        <f t="shared" si="26"/>
        <v>Moderate Use</v>
      </c>
      <c r="I179" t="s">
        <v>17</v>
      </c>
      <c r="J179" t="s">
        <v>18</v>
      </c>
      <c r="K179">
        <v>6.8</v>
      </c>
      <c r="L179" t="str">
        <f t="shared" si="27"/>
        <v>Severly Deficient Sleep</v>
      </c>
      <c r="M179">
        <v>5</v>
      </c>
      <c r="N179" t="str">
        <f t="shared" si="28"/>
        <v>Moderate</v>
      </c>
      <c r="O179" t="s">
        <v>28</v>
      </c>
      <c r="P179">
        <v>7</v>
      </c>
      <c r="Q179" t="str">
        <f t="shared" si="29"/>
        <v>High</v>
      </c>
    </row>
    <row r="180" spans="1:17" x14ac:dyDescent="0.3">
      <c r="A180">
        <v>180</v>
      </c>
      <c r="B180">
        <v>22</v>
      </c>
      <c r="C180" t="str">
        <f t="shared" si="25"/>
        <v>Young Adult</v>
      </c>
      <c r="D180" t="s">
        <v>21</v>
      </c>
      <c r="E180" t="s">
        <v>22</v>
      </c>
      <c r="F180" t="s">
        <v>23</v>
      </c>
      <c r="G180">
        <v>5</v>
      </c>
      <c r="H180" t="str">
        <f t="shared" si="26"/>
        <v>Moderate Use</v>
      </c>
      <c r="I180" t="s">
        <v>41</v>
      </c>
      <c r="J180" t="s">
        <v>26</v>
      </c>
      <c r="K180">
        <v>7.6</v>
      </c>
      <c r="L180" t="str">
        <f t="shared" si="27"/>
        <v>Sufficient Sleep</v>
      </c>
      <c r="M180">
        <v>7</v>
      </c>
      <c r="N180" t="str">
        <f t="shared" si="28"/>
        <v>Sever</v>
      </c>
      <c r="O180" t="s">
        <v>20</v>
      </c>
      <c r="P180">
        <v>6</v>
      </c>
      <c r="Q180" t="str">
        <f>IF(P180&gt;=7,"High",IF(P180&gt;=6,"Medium","Low"))</f>
        <v>Medium</v>
      </c>
    </row>
    <row r="181" spans="1:17" hidden="1" x14ac:dyDescent="0.3">
      <c r="A181">
        <v>181</v>
      </c>
      <c r="B181">
        <v>19</v>
      </c>
      <c r="C181" t="str">
        <f t="shared" si="25"/>
        <v>Teenager</v>
      </c>
      <c r="D181" t="s">
        <v>13</v>
      </c>
      <c r="E181" t="s">
        <v>14</v>
      </c>
      <c r="F181" t="s">
        <v>192</v>
      </c>
      <c r="G181">
        <v>5.8</v>
      </c>
      <c r="H181" t="str">
        <f t="shared" si="26"/>
        <v>Moderate Use</v>
      </c>
      <c r="I181" t="s">
        <v>31</v>
      </c>
      <c r="J181" t="s">
        <v>18</v>
      </c>
      <c r="K181">
        <v>5.4</v>
      </c>
      <c r="L181" t="str">
        <f t="shared" si="27"/>
        <v>Severly Deficient Sleep</v>
      </c>
      <c r="M181">
        <v>6</v>
      </c>
      <c r="N181" t="str">
        <f t="shared" si="28"/>
        <v>Moderate</v>
      </c>
      <c r="O181" t="s">
        <v>28</v>
      </c>
      <c r="P181">
        <v>8</v>
      </c>
      <c r="Q181" t="str">
        <f t="shared" si="29"/>
        <v>High</v>
      </c>
    </row>
    <row r="182" spans="1:17" hidden="1" x14ac:dyDescent="0.3">
      <c r="A182">
        <v>182</v>
      </c>
      <c r="B182">
        <v>21</v>
      </c>
      <c r="C182" t="str">
        <f t="shared" si="25"/>
        <v>Young Adult</v>
      </c>
      <c r="D182" t="s">
        <v>21</v>
      </c>
      <c r="E182" t="s">
        <v>22</v>
      </c>
      <c r="F182" t="s">
        <v>191</v>
      </c>
      <c r="G182">
        <v>4.4000000000000004</v>
      </c>
      <c r="H182" t="str">
        <f t="shared" si="26"/>
        <v>Moderate Use</v>
      </c>
      <c r="I182" t="s">
        <v>17</v>
      </c>
      <c r="J182" t="s">
        <v>18</v>
      </c>
      <c r="K182">
        <v>6.9</v>
      </c>
      <c r="L182" t="str">
        <f t="shared" si="27"/>
        <v>Severly Deficient Sleep</v>
      </c>
      <c r="M182">
        <v>5</v>
      </c>
      <c r="N182" t="str">
        <f t="shared" si="28"/>
        <v>Moderate</v>
      </c>
      <c r="O182" t="s">
        <v>20</v>
      </c>
      <c r="P182">
        <v>7</v>
      </c>
      <c r="Q182" t="str">
        <f t="shared" si="29"/>
        <v>High</v>
      </c>
    </row>
    <row r="183" spans="1:17" hidden="1" x14ac:dyDescent="0.3">
      <c r="A183">
        <v>183</v>
      </c>
      <c r="B183">
        <v>20</v>
      </c>
      <c r="C183" t="str">
        <f t="shared" si="25"/>
        <v>Young Adult</v>
      </c>
      <c r="D183" t="s">
        <v>13</v>
      </c>
      <c r="E183" t="s">
        <v>14</v>
      </c>
      <c r="F183" t="s">
        <v>194</v>
      </c>
      <c r="G183">
        <v>4.8</v>
      </c>
      <c r="H183" t="str">
        <f t="shared" si="26"/>
        <v>Moderate Use</v>
      </c>
      <c r="I183" t="s">
        <v>41</v>
      </c>
      <c r="J183" t="s">
        <v>26</v>
      </c>
      <c r="K183">
        <v>7.7</v>
      </c>
      <c r="L183" t="str">
        <f t="shared" si="27"/>
        <v>Sufficient Sleep</v>
      </c>
      <c r="M183">
        <v>7</v>
      </c>
      <c r="N183" t="str">
        <f t="shared" si="28"/>
        <v>Sever</v>
      </c>
      <c r="O183" t="s">
        <v>28</v>
      </c>
      <c r="P183">
        <v>5</v>
      </c>
      <c r="Q183" t="str">
        <f t="shared" si="29"/>
        <v>Medium</v>
      </c>
    </row>
    <row r="184" spans="1:17" hidden="1" x14ac:dyDescent="0.3">
      <c r="A184">
        <v>184</v>
      </c>
      <c r="B184">
        <v>22</v>
      </c>
      <c r="C184" t="str">
        <f t="shared" si="25"/>
        <v>Young Adult</v>
      </c>
      <c r="D184" t="s">
        <v>21</v>
      </c>
      <c r="E184" t="s">
        <v>22</v>
      </c>
      <c r="F184" t="s">
        <v>195</v>
      </c>
      <c r="G184">
        <v>5.0999999999999996</v>
      </c>
      <c r="H184" t="str">
        <f t="shared" si="26"/>
        <v>Moderate Use</v>
      </c>
      <c r="I184" t="s">
        <v>31</v>
      </c>
      <c r="J184" t="s">
        <v>18</v>
      </c>
      <c r="K184">
        <v>5.3</v>
      </c>
      <c r="L184" t="str">
        <f t="shared" si="27"/>
        <v>Severly Deficient Sleep</v>
      </c>
      <c r="M184">
        <v>6</v>
      </c>
      <c r="N184" t="str">
        <f t="shared" si="28"/>
        <v>Moderate</v>
      </c>
      <c r="O184" t="s">
        <v>20</v>
      </c>
      <c r="P184">
        <v>8</v>
      </c>
      <c r="Q184" t="str">
        <f t="shared" si="29"/>
        <v>High</v>
      </c>
    </row>
    <row r="185" spans="1:17" hidden="1" x14ac:dyDescent="0.3">
      <c r="A185">
        <v>185</v>
      </c>
      <c r="B185">
        <v>19</v>
      </c>
      <c r="C185" t="str">
        <f t="shared" si="25"/>
        <v>Teenager</v>
      </c>
      <c r="D185" t="s">
        <v>13</v>
      </c>
      <c r="E185" t="s">
        <v>14</v>
      </c>
      <c r="F185" t="s">
        <v>15</v>
      </c>
      <c r="G185">
        <v>4.5999999999999996</v>
      </c>
      <c r="H185" t="str">
        <f t="shared" si="26"/>
        <v>Moderate Use</v>
      </c>
      <c r="I185" t="s">
        <v>17</v>
      </c>
      <c r="J185" t="s">
        <v>18</v>
      </c>
      <c r="K185">
        <v>7</v>
      </c>
      <c r="L185" t="str">
        <f t="shared" si="27"/>
        <v>Sufficient Sleep</v>
      </c>
      <c r="M185">
        <v>5</v>
      </c>
      <c r="N185" t="str">
        <f t="shared" si="28"/>
        <v>Moderate</v>
      </c>
      <c r="O185" t="s">
        <v>28</v>
      </c>
      <c r="P185">
        <v>7</v>
      </c>
      <c r="Q185" t="str">
        <f t="shared" si="29"/>
        <v>High</v>
      </c>
    </row>
    <row r="186" spans="1:17" x14ac:dyDescent="0.3">
      <c r="A186">
        <v>186</v>
      </c>
      <c r="B186">
        <v>21</v>
      </c>
      <c r="C186" t="str">
        <f t="shared" si="25"/>
        <v>Young Adult</v>
      </c>
      <c r="D186" t="s">
        <v>21</v>
      </c>
      <c r="E186" t="s">
        <v>22</v>
      </c>
      <c r="F186" t="s">
        <v>23</v>
      </c>
      <c r="G186">
        <v>4.9000000000000004</v>
      </c>
      <c r="H186" t="str">
        <f t="shared" si="26"/>
        <v>Moderate Use</v>
      </c>
      <c r="I186" t="s">
        <v>41</v>
      </c>
      <c r="J186" t="s">
        <v>26</v>
      </c>
      <c r="K186">
        <v>7.8</v>
      </c>
      <c r="L186" t="str">
        <f t="shared" si="27"/>
        <v>Sufficient Sleep</v>
      </c>
      <c r="M186">
        <v>7</v>
      </c>
      <c r="N186" t="str">
        <f t="shared" si="28"/>
        <v>Sever</v>
      </c>
      <c r="O186" t="s">
        <v>20</v>
      </c>
      <c r="P186">
        <v>6</v>
      </c>
      <c r="Q186" t="str">
        <f>IF(P186&gt;=7,"High",IF(P186&gt;=6,"Medium","Low"))</f>
        <v>Medium</v>
      </c>
    </row>
    <row r="187" spans="1:17" hidden="1" x14ac:dyDescent="0.3">
      <c r="A187">
        <v>187</v>
      </c>
      <c r="B187">
        <v>20</v>
      </c>
      <c r="C187" t="str">
        <f t="shared" si="25"/>
        <v>Young Adult</v>
      </c>
      <c r="D187" t="s">
        <v>13</v>
      </c>
      <c r="E187" t="s">
        <v>14</v>
      </c>
      <c r="F187" t="s">
        <v>192</v>
      </c>
      <c r="G187">
        <v>5.9</v>
      </c>
      <c r="H187" t="str">
        <f t="shared" si="26"/>
        <v>Moderate Use</v>
      </c>
      <c r="I187" t="s">
        <v>31</v>
      </c>
      <c r="J187" t="s">
        <v>18</v>
      </c>
      <c r="K187">
        <v>5.2</v>
      </c>
      <c r="L187" t="str">
        <f t="shared" si="27"/>
        <v>Severly Deficient Sleep</v>
      </c>
      <c r="M187">
        <v>6</v>
      </c>
      <c r="N187" t="str">
        <f t="shared" si="28"/>
        <v>Moderate</v>
      </c>
      <c r="O187" t="s">
        <v>28</v>
      </c>
      <c r="P187">
        <v>8</v>
      </c>
      <c r="Q187" t="str">
        <f t="shared" si="29"/>
        <v>High</v>
      </c>
    </row>
    <row r="188" spans="1:17" hidden="1" x14ac:dyDescent="0.3">
      <c r="A188">
        <v>188</v>
      </c>
      <c r="B188">
        <v>22</v>
      </c>
      <c r="C188" t="str">
        <f t="shared" si="25"/>
        <v>Young Adult</v>
      </c>
      <c r="D188" t="s">
        <v>21</v>
      </c>
      <c r="E188" t="s">
        <v>22</v>
      </c>
      <c r="F188" t="s">
        <v>191</v>
      </c>
      <c r="G188">
        <v>4.3</v>
      </c>
      <c r="H188" t="str">
        <f t="shared" si="26"/>
        <v>Moderate Use</v>
      </c>
      <c r="I188" t="s">
        <v>17</v>
      </c>
      <c r="J188" t="s">
        <v>18</v>
      </c>
      <c r="K188">
        <v>7.1</v>
      </c>
      <c r="L188" t="str">
        <f t="shared" si="27"/>
        <v>Sufficient Sleep</v>
      </c>
      <c r="M188">
        <v>5</v>
      </c>
      <c r="N188" t="str">
        <f t="shared" si="28"/>
        <v>Moderate</v>
      </c>
      <c r="O188" t="s">
        <v>20</v>
      </c>
      <c r="P188">
        <v>7</v>
      </c>
      <c r="Q188" t="str">
        <f t="shared" si="29"/>
        <v>High</v>
      </c>
    </row>
    <row r="189" spans="1:17" hidden="1" x14ac:dyDescent="0.3">
      <c r="A189">
        <v>189</v>
      </c>
      <c r="B189">
        <v>19</v>
      </c>
      <c r="C189" t="str">
        <f t="shared" si="25"/>
        <v>Teenager</v>
      </c>
      <c r="D189" t="s">
        <v>13</v>
      </c>
      <c r="E189" t="s">
        <v>14</v>
      </c>
      <c r="F189" t="s">
        <v>194</v>
      </c>
      <c r="G189">
        <v>4.7</v>
      </c>
      <c r="H189" t="str">
        <f t="shared" si="26"/>
        <v>Moderate Use</v>
      </c>
      <c r="I189" t="s">
        <v>41</v>
      </c>
      <c r="J189" t="s">
        <v>26</v>
      </c>
      <c r="K189">
        <v>7.9</v>
      </c>
      <c r="L189" t="str">
        <f t="shared" si="27"/>
        <v>Sufficient Sleep</v>
      </c>
      <c r="M189">
        <v>7</v>
      </c>
      <c r="N189" t="str">
        <f t="shared" si="28"/>
        <v>Sever</v>
      </c>
      <c r="O189" t="s">
        <v>28</v>
      </c>
      <c r="P189">
        <v>5</v>
      </c>
      <c r="Q189" t="str">
        <f t="shared" si="29"/>
        <v>Medium</v>
      </c>
    </row>
    <row r="190" spans="1:17" hidden="1" x14ac:dyDescent="0.3">
      <c r="A190">
        <v>190</v>
      </c>
      <c r="B190">
        <v>21</v>
      </c>
      <c r="C190" t="str">
        <f t="shared" si="25"/>
        <v>Young Adult</v>
      </c>
      <c r="D190" t="s">
        <v>21</v>
      </c>
      <c r="E190" t="s">
        <v>22</v>
      </c>
      <c r="F190" t="s">
        <v>195</v>
      </c>
      <c r="G190">
        <v>5</v>
      </c>
      <c r="H190" t="str">
        <f t="shared" si="26"/>
        <v>Moderate Use</v>
      </c>
      <c r="I190" t="s">
        <v>31</v>
      </c>
      <c r="J190" t="s">
        <v>18</v>
      </c>
      <c r="K190">
        <v>5.0999999999999996</v>
      </c>
      <c r="L190" t="str">
        <f t="shared" si="27"/>
        <v>Severly Deficient Sleep</v>
      </c>
      <c r="M190">
        <v>6</v>
      </c>
      <c r="N190" t="str">
        <f t="shared" si="28"/>
        <v>Moderate</v>
      </c>
      <c r="O190" t="s">
        <v>20</v>
      </c>
      <c r="P190">
        <v>8</v>
      </c>
      <c r="Q190" t="str">
        <f t="shared" si="29"/>
        <v>High</v>
      </c>
    </row>
    <row r="191" spans="1:17" hidden="1" x14ac:dyDescent="0.3">
      <c r="A191">
        <v>191</v>
      </c>
      <c r="B191">
        <v>20</v>
      </c>
      <c r="C191" t="str">
        <f t="shared" si="25"/>
        <v>Young Adult</v>
      </c>
      <c r="D191" t="s">
        <v>13</v>
      </c>
      <c r="E191" t="s">
        <v>14</v>
      </c>
      <c r="F191" t="s">
        <v>15</v>
      </c>
      <c r="G191">
        <v>4.5</v>
      </c>
      <c r="H191" t="str">
        <f t="shared" si="26"/>
        <v>Moderate Use</v>
      </c>
      <c r="I191" t="s">
        <v>17</v>
      </c>
      <c r="J191" t="s">
        <v>18</v>
      </c>
      <c r="K191">
        <v>7.2</v>
      </c>
      <c r="L191" t="str">
        <f t="shared" si="27"/>
        <v>Sufficient Sleep</v>
      </c>
      <c r="M191">
        <v>5</v>
      </c>
      <c r="N191" t="str">
        <f t="shared" si="28"/>
        <v>Moderate</v>
      </c>
      <c r="O191" t="s">
        <v>28</v>
      </c>
      <c r="P191">
        <v>7</v>
      </c>
      <c r="Q191" t="str">
        <f t="shared" si="29"/>
        <v>High</v>
      </c>
    </row>
    <row r="192" spans="1:17" x14ac:dyDescent="0.3">
      <c r="A192">
        <v>192</v>
      </c>
      <c r="B192">
        <v>22</v>
      </c>
      <c r="C192" t="str">
        <f t="shared" si="25"/>
        <v>Young Adult</v>
      </c>
      <c r="D192" t="s">
        <v>21</v>
      </c>
      <c r="E192" t="s">
        <v>22</v>
      </c>
      <c r="F192" t="s">
        <v>23</v>
      </c>
      <c r="G192">
        <v>4.8</v>
      </c>
      <c r="H192" t="str">
        <f t="shared" si="26"/>
        <v>Moderate Use</v>
      </c>
      <c r="I192" t="s">
        <v>41</v>
      </c>
      <c r="J192" t="s">
        <v>26</v>
      </c>
      <c r="K192">
        <v>8</v>
      </c>
      <c r="L192" t="str">
        <f t="shared" si="27"/>
        <v>Sufficient Sleep</v>
      </c>
      <c r="M192">
        <v>7</v>
      </c>
      <c r="N192" t="str">
        <f t="shared" si="28"/>
        <v>Sever</v>
      </c>
      <c r="O192" t="s">
        <v>20</v>
      </c>
      <c r="P192">
        <v>6</v>
      </c>
      <c r="Q192" t="str">
        <f>IF(P192&gt;=7,"High",IF(P192&gt;=6,"Medium","Low"))</f>
        <v>Medium</v>
      </c>
    </row>
    <row r="193" spans="1:17" hidden="1" x14ac:dyDescent="0.3">
      <c r="A193">
        <v>193</v>
      </c>
      <c r="B193">
        <v>19</v>
      </c>
      <c r="C193" t="str">
        <f t="shared" ref="C193:C256" si="30">IF(B193&gt;=20,"Young Adult","Teenager")</f>
        <v>Teenager</v>
      </c>
      <c r="D193" t="s">
        <v>13</v>
      </c>
      <c r="E193" t="s">
        <v>14</v>
      </c>
      <c r="F193" t="s">
        <v>192</v>
      </c>
      <c r="G193">
        <v>6</v>
      </c>
      <c r="H193" t="str">
        <f t="shared" ref="H193:H256" si="31">IF(G193&gt;=6,"Heavy Use",IF(G193&gt;=4,"Moderate Use","Low Use"))</f>
        <v>Heavy Use</v>
      </c>
      <c r="I193" t="s">
        <v>31</v>
      </c>
      <c r="J193" t="s">
        <v>18</v>
      </c>
      <c r="K193">
        <v>5</v>
      </c>
      <c r="L193" t="str">
        <f t="shared" ref="L193:L256" si="32">IF(K193&gt;=9,"Excessive Sleep",IF(K193&gt;=7,"Sufficient Sleep","Severly Deficient Sleep"))</f>
        <v>Severly Deficient Sleep</v>
      </c>
      <c r="M193">
        <v>6</v>
      </c>
      <c r="N193" t="str">
        <f t="shared" ref="N193:N256" si="33">IF(M193&gt;=7,"Sever",IF(M193&lt;=4,"Mild","Moderate"))</f>
        <v>Moderate</v>
      </c>
      <c r="O193" t="s">
        <v>28</v>
      </c>
      <c r="P193">
        <v>8</v>
      </c>
      <c r="Q193" t="str">
        <f t="shared" si="29"/>
        <v>High</v>
      </c>
    </row>
    <row r="194" spans="1:17" hidden="1" x14ac:dyDescent="0.3">
      <c r="A194">
        <v>194</v>
      </c>
      <c r="B194">
        <v>21</v>
      </c>
      <c r="C194" t="str">
        <f t="shared" si="30"/>
        <v>Young Adult</v>
      </c>
      <c r="D194" t="s">
        <v>21</v>
      </c>
      <c r="E194" t="s">
        <v>22</v>
      </c>
      <c r="F194" t="s">
        <v>191</v>
      </c>
      <c r="G194">
        <v>4.2</v>
      </c>
      <c r="H194" t="str">
        <f t="shared" si="31"/>
        <v>Moderate Use</v>
      </c>
      <c r="I194" t="s">
        <v>17</v>
      </c>
      <c r="J194" t="s">
        <v>18</v>
      </c>
      <c r="K194">
        <v>7.3</v>
      </c>
      <c r="L194" t="str">
        <f t="shared" si="32"/>
        <v>Sufficient Sleep</v>
      </c>
      <c r="M194">
        <v>5</v>
      </c>
      <c r="N194" t="str">
        <f t="shared" si="33"/>
        <v>Moderate</v>
      </c>
      <c r="O194" t="s">
        <v>20</v>
      </c>
      <c r="P194">
        <v>7</v>
      </c>
      <c r="Q194" t="str">
        <f t="shared" si="29"/>
        <v>High</v>
      </c>
    </row>
    <row r="195" spans="1:17" hidden="1" x14ac:dyDescent="0.3">
      <c r="A195">
        <v>195</v>
      </c>
      <c r="B195">
        <v>20</v>
      </c>
      <c r="C195" t="str">
        <f t="shared" si="30"/>
        <v>Young Adult</v>
      </c>
      <c r="D195" t="s">
        <v>13</v>
      </c>
      <c r="E195" t="s">
        <v>14</v>
      </c>
      <c r="F195" t="s">
        <v>194</v>
      </c>
      <c r="G195">
        <v>4.5999999999999996</v>
      </c>
      <c r="H195" t="str">
        <f t="shared" si="31"/>
        <v>Moderate Use</v>
      </c>
      <c r="I195" t="s">
        <v>41</v>
      </c>
      <c r="J195" t="s">
        <v>26</v>
      </c>
      <c r="K195">
        <v>8.1</v>
      </c>
      <c r="L195" t="str">
        <f t="shared" si="32"/>
        <v>Sufficient Sleep</v>
      </c>
      <c r="M195">
        <v>7</v>
      </c>
      <c r="N195" t="str">
        <f t="shared" si="33"/>
        <v>Sever</v>
      </c>
      <c r="O195" t="s">
        <v>28</v>
      </c>
      <c r="P195">
        <v>5</v>
      </c>
      <c r="Q195" t="str">
        <f t="shared" si="29"/>
        <v>Medium</v>
      </c>
    </row>
    <row r="196" spans="1:17" hidden="1" x14ac:dyDescent="0.3">
      <c r="A196">
        <v>196</v>
      </c>
      <c r="B196">
        <v>22</v>
      </c>
      <c r="C196" t="str">
        <f t="shared" si="30"/>
        <v>Young Adult</v>
      </c>
      <c r="D196" t="s">
        <v>21</v>
      </c>
      <c r="E196" t="s">
        <v>22</v>
      </c>
      <c r="F196" t="s">
        <v>195</v>
      </c>
      <c r="G196">
        <v>4.9000000000000004</v>
      </c>
      <c r="H196" t="str">
        <f t="shared" si="31"/>
        <v>Moderate Use</v>
      </c>
      <c r="I196" t="s">
        <v>31</v>
      </c>
      <c r="J196" t="s">
        <v>18</v>
      </c>
      <c r="K196">
        <v>4.9000000000000004</v>
      </c>
      <c r="L196" t="str">
        <f t="shared" si="32"/>
        <v>Severly Deficient Sleep</v>
      </c>
      <c r="M196">
        <v>6</v>
      </c>
      <c r="N196" t="str">
        <f t="shared" si="33"/>
        <v>Moderate</v>
      </c>
      <c r="O196" t="s">
        <v>20</v>
      </c>
      <c r="P196">
        <v>8</v>
      </c>
      <c r="Q196" t="str">
        <f t="shared" si="29"/>
        <v>High</v>
      </c>
    </row>
    <row r="197" spans="1:17" hidden="1" x14ac:dyDescent="0.3">
      <c r="A197">
        <v>197</v>
      </c>
      <c r="B197">
        <v>19</v>
      </c>
      <c r="C197" t="str">
        <f t="shared" si="30"/>
        <v>Teenager</v>
      </c>
      <c r="D197" t="s">
        <v>13</v>
      </c>
      <c r="E197" t="s">
        <v>14</v>
      </c>
      <c r="F197" t="s">
        <v>15</v>
      </c>
      <c r="G197">
        <v>4.4000000000000004</v>
      </c>
      <c r="H197" t="str">
        <f t="shared" si="31"/>
        <v>Moderate Use</v>
      </c>
      <c r="I197" t="s">
        <v>17</v>
      </c>
      <c r="J197" t="s">
        <v>18</v>
      </c>
      <c r="K197">
        <v>7.4</v>
      </c>
      <c r="L197" t="str">
        <f t="shared" si="32"/>
        <v>Sufficient Sleep</v>
      </c>
      <c r="M197">
        <v>5</v>
      </c>
      <c r="N197" t="str">
        <f t="shared" si="33"/>
        <v>Moderate</v>
      </c>
      <c r="O197" t="s">
        <v>28</v>
      </c>
      <c r="P197">
        <v>7</v>
      </c>
      <c r="Q197" t="str">
        <f t="shared" si="29"/>
        <v>High</v>
      </c>
    </row>
    <row r="198" spans="1:17" x14ac:dyDescent="0.3">
      <c r="A198">
        <v>198</v>
      </c>
      <c r="B198">
        <v>21</v>
      </c>
      <c r="C198" t="str">
        <f t="shared" si="30"/>
        <v>Young Adult</v>
      </c>
      <c r="D198" t="s">
        <v>21</v>
      </c>
      <c r="E198" t="s">
        <v>22</v>
      </c>
      <c r="F198" t="s">
        <v>23</v>
      </c>
      <c r="G198">
        <v>4.7</v>
      </c>
      <c r="H198" t="str">
        <f t="shared" si="31"/>
        <v>Moderate Use</v>
      </c>
      <c r="I198" t="s">
        <v>41</v>
      </c>
      <c r="J198" t="s">
        <v>26</v>
      </c>
      <c r="K198">
        <v>8.1999999999999993</v>
      </c>
      <c r="L198" t="str">
        <f t="shared" si="32"/>
        <v>Sufficient Sleep</v>
      </c>
      <c r="M198">
        <v>7</v>
      </c>
      <c r="N198" t="str">
        <f t="shared" si="33"/>
        <v>Sever</v>
      </c>
      <c r="O198" t="s">
        <v>20</v>
      </c>
      <c r="P198">
        <v>6</v>
      </c>
      <c r="Q198" t="str">
        <f>IF(P198&gt;=7,"High",IF(P198&gt;=6,"Medium","Low"))</f>
        <v>Medium</v>
      </c>
    </row>
    <row r="199" spans="1:17" hidden="1" x14ac:dyDescent="0.3">
      <c r="A199">
        <v>199</v>
      </c>
      <c r="B199">
        <v>20</v>
      </c>
      <c r="C199" t="str">
        <f t="shared" si="30"/>
        <v>Young Adult</v>
      </c>
      <c r="D199" t="s">
        <v>13</v>
      </c>
      <c r="E199" t="s">
        <v>14</v>
      </c>
      <c r="F199" t="s">
        <v>192</v>
      </c>
      <c r="G199">
        <v>6.1</v>
      </c>
      <c r="H199" t="str">
        <f t="shared" si="31"/>
        <v>Heavy Use</v>
      </c>
      <c r="I199" t="s">
        <v>31</v>
      </c>
      <c r="J199" t="s">
        <v>18</v>
      </c>
      <c r="K199">
        <v>4.8</v>
      </c>
      <c r="L199" t="str">
        <f t="shared" si="32"/>
        <v>Severly Deficient Sleep</v>
      </c>
      <c r="M199">
        <v>6</v>
      </c>
      <c r="N199" t="str">
        <f t="shared" si="33"/>
        <v>Moderate</v>
      </c>
      <c r="O199" t="s">
        <v>28</v>
      </c>
      <c r="P199">
        <v>8</v>
      </c>
      <c r="Q199" t="str">
        <f t="shared" si="29"/>
        <v>High</v>
      </c>
    </row>
    <row r="200" spans="1:17" hidden="1" x14ac:dyDescent="0.3">
      <c r="A200">
        <v>200</v>
      </c>
      <c r="B200">
        <v>22</v>
      </c>
      <c r="C200" t="str">
        <f t="shared" si="30"/>
        <v>Young Adult</v>
      </c>
      <c r="D200" t="s">
        <v>21</v>
      </c>
      <c r="E200" t="s">
        <v>22</v>
      </c>
      <c r="F200" t="s">
        <v>191</v>
      </c>
      <c r="G200">
        <v>4.0999999999999996</v>
      </c>
      <c r="H200" t="str">
        <f t="shared" si="31"/>
        <v>Moderate Use</v>
      </c>
      <c r="I200" t="s">
        <v>17</v>
      </c>
      <c r="J200" t="s">
        <v>18</v>
      </c>
      <c r="K200">
        <v>7.5</v>
      </c>
      <c r="L200" t="str">
        <f t="shared" si="32"/>
        <v>Sufficient Sleep</v>
      </c>
      <c r="M200">
        <v>5</v>
      </c>
      <c r="N200" t="str">
        <f t="shared" si="33"/>
        <v>Moderate</v>
      </c>
      <c r="O200" t="s">
        <v>20</v>
      </c>
      <c r="P200">
        <v>7</v>
      </c>
      <c r="Q200" t="str">
        <f t="shared" si="29"/>
        <v>High</v>
      </c>
    </row>
    <row r="201" spans="1:17" hidden="1" x14ac:dyDescent="0.3">
      <c r="A201">
        <v>201</v>
      </c>
      <c r="B201">
        <v>19</v>
      </c>
      <c r="C201" t="str">
        <f t="shared" si="30"/>
        <v>Teenager</v>
      </c>
      <c r="D201" t="s">
        <v>13</v>
      </c>
      <c r="E201" t="s">
        <v>14</v>
      </c>
      <c r="F201" t="s">
        <v>194</v>
      </c>
      <c r="G201">
        <v>4.5</v>
      </c>
      <c r="H201" t="str">
        <f t="shared" si="31"/>
        <v>Moderate Use</v>
      </c>
      <c r="I201" t="s">
        <v>41</v>
      </c>
      <c r="J201" t="s">
        <v>26</v>
      </c>
      <c r="K201">
        <v>8.3000000000000007</v>
      </c>
      <c r="L201" t="str">
        <f t="shared" si="32"/>
        <v>Sufficient Sleep</v>
      </c>
      <c r="M201">
        <v>7</v>
      </c>
      <c r="N201" t="str">
        <f t="shared" si="33"/>
        <v>Sever</v>
      </c>
      <c r="O201" t="s">
        <v>28</v>
      </c>
      <c r="P201">
        <v>5</v>
      </c>
      <c r="Q201" t="str">
        <f t="shared" si="29"/>
        <v>Medium</v>
      </c>
    </row>
    <row r="202" spans="1:17" hidden="1" x14ac:dyDescent="0.3">
      <c r="A202">
        <v>202</v>
      </c>
      <c r="B202">
        <v>21</v>
      </c>
      <c r="C202" t="str">
        <f t="shared" si="30"/>
        <v>Young Adult</v>
      </c>
      <c r="D202" t="s">
        <v>21</v>
      </c>
      <c r="E202" t="s">
        <v>22</v>
      </c>
      <c r="F202" t="s">
        <v>195</v>
      </c>
      <c r="G202">
        <v>4.8</v>
      </c>
      <c r="H202" t="str">
        <f t="shared" si="31"/>
        <v>Moderate Use</v>
      </c>
      <c r="I202" t="s">
        <v>31</v>
      </c>
      <c r="J202" t="s">
        <v>18</v>
      </c>
      <c r="K202">
        <v>4.7</v>
      </c>
      <c r="L202" t="str">
        <f t="shared" si="32"/>
        <v>Severly Deficient Sleep</v>
      </c>
      <c r="M202">
        <v>6</v>
      </c>
      <c r="N202" t="str">
        <f t="shared" si="33"/>
        <v>Moderate</v>
      </c>
      <c r="O202" t="s">
        <v>20</v>
      </c>
      <c r="P202">
        <v>8</v>
      </c>
      <c r="Q202" t="str">
        <f t="shared" si="29"/>
        <v>High</v>
      </c>
    </row>
    <row r="203" spans="1:17" hidden="1" x14ac:dyDescent="0.3">
      <c r="A203">
        <v>203</v>
      </c>
      <c r="B203">
        <v>20</v>
      </c>
      <c r="C203" t="str">
        <f t="shared" si="30"/>
        <v>Young Adult</v>
      </c>
      <c r="D203" t="s">
        <v>13</v>
      </c>
      <c r="E203" t="s">
        <v>14</v>
      </c>
      <c r="F203" t="s">
        <v>15</v>
      </c>
      <c r="G203">
        <v>4.3</v>
      </c>
      <c r="H203" t="str">
        <f t="shared" si="31"/>
        <v>Moderate Use</v>
      </c>
      <c r="I203" t="s">
        <v>17</v>
      </c>
      <c r="J203" t="s">
        <v>18</v>
      </c>
      <c r="K203">
        <v>7.6</v>
      </c>
      <c r="L203" t="str">
        <f t="shared" si="32"/>
        <v>Sufficient Sleep</v>
      </c>
      <c r="M203">
        <v>5</v>
      </c>
      <c r="N203" t="str">
        <f t="shared" si="33"/>
        <v>Moderate</v>
      </c>
      <c r="O203" t="s">
        <v>28</v>
      </c>
      <c r="P203">
        <v>7</v>
      </c>
      <c r="Q203" t="str">
        <f t="shared" si="29"/>
        <v>High</v>
      </c>
    </row>
    <row r="204" spans="1:17" x14ac:dyDescent="0.3">
      <c r="A204">
        <v>204</v>
      </c>
      <c r="B204">
        <v>22</v>
      </c>
      <c r="C204" t="str">
        <f t="shared" si="30"/>
        <v>Young Adult</v>
      </c>
      <c r="D204" t="s">
        <v>21</v>
      </c>
      <c r="E204" t="s">
        <v>22</v>
      </c>
      <c r="F204" t="s">
        <v>23</v>
      </c>
      <c r="G204">
        <v>4.5999999999999996</v>
      </c>
      <c r="H204" t="str">
        <f t="shared" si="31"/>
        <v>Moderate Use</v>
      </c>
      <c r="I204" t="s">
        <v>41</v>
      </c>
      <c r="J204" t="s">
        <v>26</v>
      </c>
      <c r="K204">
        <v>8.4</v>
      </c>
      <c r="L204" t="str">
        <f t="shared" si="32"/>
        <v>Sufficient Sleep</v>
      </c>
      <c r="M204">
        <v>7</v>
      </c>
      <c r="N204" t="str">
        <f t="shared" si="33"/>
        <v>Sever</v>
      </c>
      <c r="O204" t="s">
        <v>20</v>
      </c>
      <c r="P204">
        <v>6</v>
      </c>
      <c r="Q204" t="str">
        <f>IF(P204&gt;=7,"High",IF(P204&gt;=6,"Medium","Low"))</f>
        <v>Medium</v>
      </c>
    </row>
    <row r="205" spans="1:17" hidden="1" x14ac:dyDescent="0.3">
      <c r="A205">
        <v>205</v>
      </c>
      <c r="B205">
        <v>19</v>
      </c>
      <c r="C205" t="str">
        <f t="shared" si="30"/>
        <v>Teenager</v>
      </c>
      <c r="D205" t="s">
        <v>13</v>
      </c>
      <c r="E205" t="s">
        <v>14</v>
      </c>
      <c r="F205" t="s">
        <v>192</v>
      </c>
      <c r="G205">
        <v>6.2</v>
      </c>
      <c r="H205" t="str">
        <f t="shared" si="31"/>
        <v>Heavy Use</v>
      </c>
      <c r="I205" t="s">
        <v>31</v>
      </c>
      <c r="J205" t="s">
        <v>18</v>
      </c>
      <c r="K205">
        <v>4.5999999999999996</v>
      </c>
      <c r="L205" t="str">
        <f t="shared" si="32"/>
        <v>Severly Deficient Sleep</v>
      </c>
      <c r="M205">
        <v>6</v>
      </c>
      <c r="N205" t="str">
        <f t="shared" si="33"/>
        <v>Moderate</v>
      </c>
      <c r="O205" t="s">
        <v>28</v>
      </c>
      <c r="P205">
        <v>8</v>
      </c>
      <c r="Q205" t="str">
        <f t="shared" si="29"/>
        <v>High</v>
      </c>
    </row>
    <row r="206" spans="1:17" hidden="1" x14ac:dyDescent="0.3">
      <c r="A206">
        <v>206</v>
      </c>
      <c r="B206">
        <v>21</v>
      </c>
      <c r="C206" t="str">
        <f t="shared" si="30"/>
        <v>Young Adult</v>
      </c>
      <c r="D206" t="s">
        <v>21</v>
      </c>
      <c r="E206" t="s">
        <v>22</v>
      </c>
      <c r="F206" t="s">
        <v>191</v>
      </c>
      <c r="G206">
        <v>4</v>
      </c>
      <c r="H206" t="str">
        <f t="shared" si="31"/>
        <v>Moderate Use</v>
      </c>
      <c r="I206" t="s">
        <v>17</v>
      </c>
      <c r="J206" t="s">
        <v>18</v>
      </c>
      <c r="K206">
        <v>7.7</v>
      </c>
      <c r="L206" t="str">
        <f t="shared" si="32"/>
        <v>Sufficient Sleep</v>
      </c>
      <c r="M206">
        <v>5</v>
      </c>
      <c r="N206" t="str">
        <f t="shared" si="33"/>
        <v>Moderate</v>
      </c>
      <c r="O206" t="s">
        <v>20</v>
      </c>
      <c r="P206">
        <v>7</v>
      </c>
      <c r="Q206" t="str">
        <f t="shared" si="29"/>
        <v>High</v>
      </c>
    </row>
    <row r="207" spans="1:17" hidden="1" x14ac:dyDescent="0.3">
      <c r="A207">
        <v>207</v>
      </c>
      <c r="B207">
        <v>20</v>
      </c>
      <c r="C207" t="str">
        <f t="shared" si="30"/>
        <v>Young Adult</v>
      </c>
      <c r="D207" t="s">
        <v>13</v>
      </c>
      <c r="E207" t="s">
        <v>14</v>
      </c>
      <c r="F207" t="s">
        <v>194</v>
      </c>
      <c r="G207">
        <v>4.4000000000000004</v>
      </c>
      <c r="H207" t="str">
        <f t="shared" si="31"/>
        <v>Moderate Use</v>
      </c>
      <c r="I207" t="s">
        <v>41</v>
      </c>
      <c r="J207" t="s">
        <v>26</v>
      </c>
      <c r="K207">
        <v>8.5</v>
      </c>
      <c r="L207" t="str">
        <f t="shared" si="32"/>
        <v>Sufficient Sleep</v>
      </c>
      <c r="M207">
        <v>7</v>
      </c>
      <c r="N207" t="str">
        <f t="shared" si="33"/>
        <v>Sever</v>
      </c>
      <c r="O207" t="s">
        <v>28</v>
      </c>
      <c r="P207">
        <v>5</v>
      </c>
      <c r="Q207" t="str">
        <f t="shared" si="29"/>
        <v>Medium</v>
      </c>
    </row>
    <row r="208" spans="1:17" hidden="1" x14ac:dyDescent="0.3">
      <c r="A208">
        <v>208</v>
      </c>
      <c r="B208">
        <v>22</v>
      </c>
      <c r="C208" t="str">
        <f t="shared" si="30"/>
        <v>Young Adult</v>
      </c>
      <c r="D208" t="s">
        <v>21</v>
      </c>
      <c r="E208" t="s">
        <v>22</v>
      </c>
      <c r="F208" t="s">
        <v>195</v>
      </c>
      <c r="G208">
        <v>4.7</v>
      </c>
      <c r="H208" t="str">
        <f t="shared" si="31"/>
        <v>Moderate Use</v>
      </c>
      <c r="I208" t="s">
        <v>31</v>
      </c>
      <c r="J208" t="s">
        <v>18</v>
      </c>
      <c r="K208">
        <v>4.5</v>
      </c>
      <c r="L208" t="str">
        <f t="shared" si="32"/>
        <v>Severly Deficient Sleep</v>
      </c>
      <c r="M208">
        <v>6</v>
      </c>
      <c r="N208" t="str">
        <f t="shared" si="33"/>
        <v>Moderate</v>
      </c>
      <c r="O208" t="s">
        <v>20</v>
      </c>
      <c r="P208">
        <v>8</v>
      </c>
      <c r="Q208" t="str">
        <f t="shared" si="29"/>
        <v>High</v>
      </c>
    </row>
    <row r="209" spans="1:17" hidden="1" x14ac:dyDescent="0.3">
      <c r="A209">
        <v>209</v>
      </c>
      <c r="B209">
        <v>19</v>
      </c>
      <c r="C209" t="str">
        <f t="shared" si="30"/>
        <v>Teenager</v>
      </c>
      <c r="D209" t="s">
        <v>13</v>
      </c>
      <c r="E209" t="s">
        <v>14</v>
      </c>
      <c r="F209" t="s">
        <v>15</v>
      </c>
      <c r="G209">
        <v>4.2</v>
      </c>
      <c r="H209" t="str">
        <f t="shared" si="31"/>
        <v>Moderate Use</v>
      </c>
      <c r="I209" t="s">
        <v>17</v>
      </c>
      <c r="J209" t="s">
        <v>18</v>
      </c>
      <c r="K209">
        <v>7.8</v>
      </c>
      <c r="L209" t="str">
        <f t="shared" si="32"/>
        <v>Sufficient Sleep</v>
      </c>
      <c r="M209">
        <v>5</v>
      </c>
      <c r="N209" t="str">
        <f t="shared" si="33"/>
        <v>Moderate</v>
      </c>
      <c r="O209" t="s">
        <v>28</v>
      </c>
      <c r="P209">
        <v>7</v>
      </c>
      <c r="Q209" t="str">
        <f t="shared" si="29"/>
        <v>High</v>
      </c>
    </row>
    <row r="210" spans="1:17" x14ac:dyDescent="0.3">
      <c r="A210">
        <v>210</v>
      </c>
      <c r="B210">
        <v>21</v>
      </c>
      <c r="C210" t="str">
        <f t="shared" si="30"/>
        <v>Young Adult</v>
      </c>
      <c r="D210" t="s">
        <v>21</v>
      </c>
      <c r="E210" t="s">
        <v>22</v>
      </c>
      <c r="F210" t="s">
        <v>23</v>
      </c>
      <c r="G210">
        <v>4.5</v>
      </c>
      <c r="H210" t="str">
        <f t="shared" si="31"/>
        <v>Moderate Use</v>
      </c>
      <c r="I210" t="s">
        <v>41</v>
      </c>
      <c r="J210" t="s">
        <v>26</v>
      </c>
      <c r="K210">
        <v>8.6</v>
      </c>
      <c r="L210" t="str">
        <f t="shared" si="32"/>
        <v>Sufficient Sleep</v>
      </c>
      <c r="M210">
        <v>7</v>
      </c>
      <c r="N210" t="str">
        <f t="shared" si="33"/>
        <v>Sever</v>
      </c>
      <c r="O210" t="s">
        <v>20</v>
      </c>
      <c r="P210">
        <v>6</v>
      </c>
      <c r="Q210" t="str">
        <f>IF(P210&gt;=7,"High",IF(P210&gt;=6,"Medium","Low"))</f>
        <v>Medium</v>
      </c>
    </row>
    <row r="211" spans="1:17" hidden="1" x14ac:dyDescent="0.3">
      <c r="A211">
        <v>211</v>
      </c>
      <c r="B211">
        <v>20</v>
      </c>
      <c r="C211" t="str">
        <f t="shared" si="30"/>
        <v>Young Adult</v>
      </c>
      <c r="D211" t="s">
        <v>13</v>
      </c>
      <c r="E211" t="s">
        <v>14</v>
      </c>
      <c r="F211" t="s">
        <v>192</v>
      </c>
      <c r="G211">
        <v>6.3</v>
      </c>
      <c r="H211" t="str">
        <f t="shared" si="31"/>
        <v>Heavy Use</v>
      </c>
      <c r="I211" t="s">
        <v>31</v>
      </c>
      <c r="J211" t="s">
        <v>18</v>
      </c>
      <c r="K211">
        <v>4.4000000000000004</v>
      </c>
      <c r="L211" t="str">
        <f t="shared" si="32"/>
        <v>Severly Deficient Sleep</v>
      </c>
      <c r="M211">
        <v>6</v>
      </c>
      <c r="N211" t="str">
        <f t="shared" si="33"/>
        <v>Moderate</v>
      </c>
      <c r="O211" t="s">
        <v>28</v>
      </c>
      <c r="P211">
        <v>8</v>
      </c>
      <c r="Q211" t="str">
        <f t="shared" si="29"/>
        <v>High</v>
      </c>
    </row>
    <row r="212" spans="1:17" hidden="1" x14ac:dyDescent="0.3">
      <c r="A212">
        <v>212</v>
      </c>
      <c r="B212">
        <v>22</v>
      </c>
      <c r="C212" t="str">
        <f t="shared" si="30"/>
        <v>Young Adult</v>
      </c>
      <c r="D212" t="s">
        <v>21</v>
      </c>
      <c r="E212" t="s">
        <v>22</v>
      </c>
      <c r="F212" t="s">
        <v>191</v>
      </c>
      <c r="G212">
        <v>3.9</v>
      </c>
      <c r="H212" t="str">
        <f t="shared" si="31"/>
        <v>Low Use</v>
      </c>
      <c r="I212" t="s">
        <v>17</v>
      </c>
      <c r="J212" t="s">
        <v>18</v>
      </c>
      <c r="K212">
        <v>7.9</v>
      </c>
      <c r="L212" t="str">
        <f t="shared" si="32"/>
        <v>Sufficient Sleep</v>
      </c>
      <c r="M212">
        <v>5</v>
      </c>
      <c r="N212" t="str">
        <f t="shared" si="33"/>
        <v>Moderate</v>
      </c>
      <c r="O212" t="s">
        <v>20</v>
      </c>
      <c r="P212">
        <v>7</v>
      </c>
      <c r="Q212" t="str">
        <f t="shared" si="29"/>
        <v>High</v>
      </c>
    </row>
    <row r="213" spans="1:17" hidden="1" x14ac:dyDescent="0.3">
      <c r="A213">
        <v>213</v>
      </c>
      <c r="B213">
        <v>19</v>
      </c>
      <c r="C213" t="str">
        <f t="shared" si="30"/>
        <v>Teenager</v>
      </c>
      <c r="D213" t="s">
        <v>13</v>
      </c>
      <c r="E213" t="s">
        <v>14</v>
      </c>
      <c r="F213" t="s">
        <v>194</v>
      </c>
      <c r="G213">
        <v>4.3</v>
      </c>
      <c r="H213" t="str">
        <f t="shared" si="31"/>
        <v>Moderate Use</v>
      </c>
      <c r="I213" t="s">
        <v>41</v>
      </c>
      <c r="J213" t="s">
        <v>26</v>
      </c>
      <c r="K213">
        <v>8.6999999999999993</v>
      </c>
      <c r="L213" t="str">
        <f t="shared" si="32"/>
        <v>Sufficient Sleep</v>
      </c>
      <c r="M213">
        <v>7</v>
      </c>
      <c r="N213" t="str">
        <f t="shared" si="33"/>
        <v>Sever</v>
      </c>
      <c r="O213" t="s">
        <v>28</v>
      </c>
      <c r="P213">
        <v>5</v>
      </c>
      <c r="Q213" t="str">
        <f t="shared" si="29"/>
        <v>Medium</v>
      </c>
    </row>
    <row r="214" spans="1:17" hidden="1" x14ac:dyDescent="0.3">
      <c r="A214">
        <v>214</v>
      </c>
      <c r="B214">
        <v>21</v>
      </c>
      <c r="C214" t="str">
        <f t="shared" si="30"/>
        <v>Young Adult</v>
      </c>
      <c r="D214" t="s">
        <v>21</v>
      </c>
      <c r="E214" t="s">
        <v>22</v>
      </c>
      <c r="F214" t="s">
        <v>195</v>
      </c>
      <c r="G214">
        <v>4.5999999999999996</v>
      </c>
      <c r="H214" t="str">
        <f t="shared" si="31"/>
        <v>Moderate Use</v>
      </c>
      <c r="I214" t="s">
        <v>31</v>
      </c>
      <c r="J214" t="s">
        <v>18</v>
      </c>
      <c r="K214">
        <v>4.3</v>
      </c>
      <c r="L214" t="str">
        <f t="shared" si="32"/>
        <v>Severly Deficient Sleep</v>
      </c>
      <c r="M214">
        <v>6</v>
      </c>
      <c r="N214" t="str">
        <f t="shared" si="33"/>
        <v>Moderate</v>
      </c>
      <c r="O214" t="s">
        <v>20</v>
      </c>
      <c r="P214">
        <v>8</v>
      </c>
      <c r="Q214" t="str">
        <f t="shared" si="29"/>
        <v>High</v>
      </c>
    </row>
    <row r="215" spans="1:17" hidden="1" x14ac:dyDescent="0.3">
      <c r="A215">
        <v>215</v>
      </c>
      <c r="B215">
        <v>20</v>
      </c>
      <c r="C215" t="str">
        <f t="shared" si="30"/>
        <v>Young Adult</v>
      </c>
      <c r="D215" t="s">
        <v>13</v>
      </c>
      <c r="E215" t="s">
        <v>14</v>
      </c>
      <c r="F215" t="s">
        <v>15</v>
      </c>
      <c r="G215">
        <v>4.0999999999999996</v>
      </c>
      <c r="H215" t="str">
        <f t="shared" si="31"/>
        <v>Moderate Use</v>
      </c>
      <c r="I215" t="s">
        <v>17</v>
      </c>
      <c r="J215" t="s">
        <v>18</v>
      </c>
      <c r="K215">
        <v>8</v>
      </c>
      <c r="L215" t="str">
        <f t="shared" si="32"/>
        <v>Sufficient Sleep</v>
      </c>
      <c r="M215">
        <v>5</v>
      </c>
      <c r="N215" t="str">
        <f t="shared" si="33"/>
        <v>Moderate</v>
      </c>
      <c r="O215" t="s">
        <v>28</v>
      </c>
      <c r="P215">
        <v>7</v>
      </c>
      <c r="Q215" t="str">
        <f t="shared" si="29"/>
        <v>High</v>
      </c>
    </row>
    <row r="216" spans="1:17" x14ac:dyDescent="0.3">
      <c r="A216">
        <v>216</v>
      </c>
      <c r="B216">
        <v>22</v>
      </c>
      <c r="C216" t="str">
        <f t="shared" si="30"/>
        <v>Young Adult</v>
      </c>
      <c r="D216" t="s">
        <v>21</v>
      </c>
      <c r="E216" t="s">
        <v>22</v>
      </c>
      <c r="F216" t="s">
        <v>23</v>
      </c>
      <c r="G216">
        <v>4.4000000000000004</v>
      </c>
      <c r="H216" t="str">
        <f t="shared" si="31"/>
        <v>Moderate Use</v>
      </c>
      <c r="I216" t="s">
        <v>41</v>
      </c>
      <c r="J216" t="s">
        <v>26</v>
      </c>
      <c r="K216">
        <v>8.8000000000000007</v>
      </c>
      <c r="L216" t="str">
        <f t="shared" si="32"/>
        <v>Sufficient Sleep</v>
      </c>
      <c r="M216">
        <v>7</v>
      </c>
      <c r="N216" t="str">
        <f t="shared" si="33"/>
        <v>Sever</v>
      </c>
      <c r="O216" t="s">
        <v>20</v>
      </c>
      <c r="P216">
        <v>6</v>
      </c>
      <c r="Q216" t="str">
        <f>IF(P216&gt;=7,"High",IF(P216&gt;=6,"Medium","Low"))</f>
        <v>Medium</v>
      </c>
    </row>
    <row r="217" spans="1:17" hidden="1" x14ac:dyDescent="0.3">
      <c r="A217">
        <v>217</v>
      </c>
      <c r="B217">
        <v>19</v>
      </c>
      <c r="C217" t="str">
        <f t="shared" si="30"/>
        <v>Teenager</v>
      </c>
      <c r="D217" t="s">
        <v>13</v>
      </c>
      <c r="E217" t="s">
        <v>14</v>
      </c>
      <c r="F217" t="s">
        <v>192</v>
      </c>
      <c r="G217">
        <v>6.4</v>
      </c>
      <c r="H217" t="str">
        <f t="shared" si="31"/>
        <v>Heavy Use</v>
      </c>
      <c r="I217" t="s">
        <v>31</v>
      </c>
      <c r="J217" t="s">
        <v>18</v>
      </c>
      <c r="K217">
        <v>4.2</v>
      </c>
      <c r="L217" t="str">
        <f t="shared" si="32"/>
        <v>Severly Deficient Sleep</v>
      </c>
      <c r="M217">
        <v>6</v>
      </c>
      <c r="N217" t="str">
        <f t="shared" si="33"/>
        <v>Moderate</v>
      </c>
      <c r="O217" t="s">
        <v>28</v>
      </c>
      <c r="P217">
        <v>8</v>
      </c>
      <c r="Q217" t="str">
        <f t="shared" si="29"/>
        <v>High</v>
      </c>
    </row>
    <row r="218" spans="1:17" hidden="1" x14ac:dyDescent="0.3">
      <c r="A218">
        <v>218</v>
      </c>
      <c r="B218">
        <v>21</v>
      </c>
      <c r="C218" t="str">
        <f t="shared" si="30"/>
        <v>Young Adult</v>
      </c>
      <c r="D218" t="s">
        <v>21</v>
      </c>
      <c r="E218" t="s">
        <v>22</v>
      </c>
      <c r="F218" t="s">
        <v>191</v>
      </c>
      <c r="G218">
        <v>3.8</v>
      </c>
      <c r="H218" t="str">
        <f t="shared" si="31"/>
        <v>Low Use</v>
      </c>
      <c r="I218" t="s">
        <v>17</v>
      </c>
      <c r="J218" t="s">
        <v>18</v>
      </c>
      <c r="K218">
        <v>8.1</v>
      </c>
      <c r="L218" t="str">
        <f t="shared" si="32"/>
        <v>Sufficient Sleep</v>
      </c>
      <c r="M218">
        <v>5</v>
      </c>
      <c r="N218" t="str">
        <f t="shared" si="33"/>
        <v>Moderate</v>
      </c>
      <c r="O218" t="s">
        <v>20</v>
      </c>
      <c r="P218">
        <v>7</v>
      </c>
      <c r="Q218" t="str">
        <f t="shared" si="29"/>
        <v>High</v>
      </c>
    </row>
    <row r="219" spans="1:17" hidden="1" x14ac:dyDescent="0.3">
      <c r="A219">
        <v>219</v>
      </c>
      <c r="B219">
        <v>20</v>
      </c>
      <c r="C219" t="str">
        <f t="shared" si="30"/>
        <v>Young Adult</v>
      </c>
      <c r="D219" t="s">
        <v>13</v>
      </c>
      <c r="E219" t="s">
        <v>14</v>
      </c>
      <c r="F219" t="s">
        <v>194</v>
      </c>
      <c r="G219">
        <v>4.2</v>
      </c>
      <c r="H219" t="str">
        <f t="shared" si="31"/>
        <v>Moderate Use</v>
      </c>
      <c r="I219" t="s">
        <v>41</v>
      </c>
      <c r="J219" t="s">
        <v>26</v>
      </c>
      <c r="K219">
        <v>8.9</v>
      </c>
      <c r="L219" t="str">
        <f t="shared" si="32"/>
        <v>Sufficient Sleep</v>
      </c>
      <c r="M219">
        <v>7</v>
      </c>
      <c r="N219" t="str">
        <f t="shared" si="33"/>
        <v>Sever</v>
      </c>
      <c r="O219" t="s">
        <v>28</v>
      </c>
      <c r="P219">
        <v>5</v>
      </c>
      <c r="Q219" t="str">
        <f t="shared" si="29"/>
        <v>Medium</v>
      </c>
    </row>
    <row r="220" spans="1:17" hidden="1" x14ac:dyDescent="0.3">
      <c r="A220">
        <v>220</v>
      </c>
      <c r="B220">
        <v>22</v>
      </c>
      <c r="C220" t="str">
        <f t="shared" si="30"/>
        <v>Young Adult</v>
      </c>
      <c r="D220" t="s">
        <v>21</v>
      </c>
      <c r="E220" t="s">
        <v>22</v>
      </c>
      <c r="F220" t="s">
        <v>195</v>
      </c>
      <c r="G220">
        <v>4.5</v>
      </c>
      <c r="H220" t="str">
        <f t="shared" si="31"/>
        <v>Moderate Use</v>
      </c>
      <c r="I220" t="s">
        <v>31</v>
      </c>
      <c r="J220" t="s">
        <v>18</v>
      </c>
      <c r="K220">
        <v>4.0999999999999996</v>
      </c>
      <c r="L220" t="str">
        <f t="shared" si="32"/>
        <v>Severly Deficient Sleep</v>
      </c>
      <c r="M220">
        <v>6</v>
      </c>
      <c r="N220" t="str">
        <f t="shared" si="33"/>
        <v>Moderate</v>
      </c>
      <c r="O220" t="s">
        <v>20</v>
      </c>
      <c r="P220">
        <v>8</v>
      </c>
      <c r="Q220" t="str">
        <f t="shared" si="29"/>
        <v>High</v>
      </c>
    </row>
    <row r="221" spans="1:17" x14ac:dyDescent="0.3">
      <c r="A221">
        <v>221</v>
      </c>
      <c r="B221">
        <v>19</v>
      </c>
      <c r="C221" t="str">
        <f t="shared" si="30"/>
        <v>Teenager</v>
      </c>
      <c r="D221" t="s">
        <v>13</v>
      </c>
      <c r="E221" t="s">
        <v>14</v>
      </c>
      <c r="F221" t="s">
        <v>29</v>
      </c>
      <c r="G221">
        <v>6.5</v>
      </c>
      <c r="H221" t="str">
        <f t="shared" si="31"/>
        <v>Heavy Use</v>
      </c>
      <c r="I221" t="s">
        <v>17</v>
      </c>
      <c r="J221" t="s">
        <v>18</v>
      </c>
      <c r="K221">
        <v>6</v>
      </c>
      <c r="L221" t="str">
        <f t="shared" si="32"/>
        <v>Severly Deficient Sleep</v>
      </c>
      <c r="M221">
        <v>5</v>
      </c>
      <c r="N221" t="str">
        <f t="shared" si="33"/>
        <v>Moderate</v>
      </c>
      <c r="O221" t="s">
        <v>28</v>
      </c>
      <c r="P221">
        <v>9</v>
      </c>
      <c r="Q221" t="str">
        <f>IF(P221&gt;=7,"High",IF(P221&gt;=6,"Medium","Low"))</f>
        <v>High</v>
      </c>
    </row>
    <row r="222" spans="1:17" hidden="1" x14ac:dyDescent="0.3">
      <c r="A222">
        <v>222</v>
      </c>
      <c r="B222">
        <v>21</v>
      </c>
      <c r="C222" t="str">
        <f t="shared" si="30"/>
        <v>Young Adult</v>
      </c>
      <c r="D222" t="s">
        <v>21</v>
      </c>
      <c r="E222" t="s">
        <v>22</v>
      </c>
      <c r="F222" t="s">
        <v>35</v>
      </c>
      <c r="G222">
        <v>5.8</v>
      </c>
      <c r="H222" t="str">
        <f t="shared" si="31"/>
        <v>Moderate Use</v>
      </c>
      <c r="I222" t="s">
        <v>31</v>
      </c>
      <c r="J222" t="s">
        <v>18</v>
      </c>
      <c r="K222">
        <v>6.5</v>
      </c>
      <c r="L222" t="str">
        <f t="shared" si="32"/>
        <v>Severly Deficient Sleep</v>
      </c>
      <c r="M222">
        <v>6</v>
      </c>
      <c r="N222" t="str">
        <f t="shared" si="33"/>
        <v>Moderate</v>
      </c>
      <c r="O222" t="s">
        <v>20</v>
      </c>
      <c r="P222">
        <v>7</v>
      </c>
      <c r="Q222" t="str">
        <f t="shared" si="29"/>
        <v>High</v>
      </c>
    </row>
    <row r="223" spans="1:17" hidden="1" x14ac:dyDescent="0.3">
      <c r="A223">
        <v>223</v>
      </c>
      <c r="B223">
        <v>20</v>
      </c>
      <c r="C223" t="str">
        <f t="shared" si="30"/>
        <v>Young Adult</v>
      </c>
      <c r="D223" t="s">
        <v>13</v>
      </c>
      <c r="E223" t="s">
        <v>14</v>
      </c>
      <c r="F223" t="s">
        <v>42</v>
      </c>
      <c r="G223">
        <v>4.5</v>
      </c>
      <c r="H223" t="str">
        <f t="shared" si="31"/>
        <v>Moderate Use</v>
      </c>
      <c r="I223" t="s">
        <v>17</v>
      </c>
      <c r="J223" t="s">
        <v>26</v>
      </c>
      <c r="K223">
        <v>7.5</v>
      </c>
      <c r="L223" t="str">
        <f t="shared" si="32"/>
        <v>Sufficient Sleep</v>
      </c>
      <c r="M223">
        <v>8</v>
      </c>
      <c r="N223" t="str">
        <f t="shared" si="33"/>
        <v>Sever</v>
      </c>
      <c r="O223" t="s">
        <v>28</v>
      </c>
      <c r="P223">
        <v>5</v>
      </c>
      <c r="Q223" t="str">
        <f t="shared" si="29"/>
        <v>Medium</v>
      </c>
    </row>
    <row r="224" spans="1:17" hidden="1" x14ac:dyDescent="0.3">
      <c r="A224">
        <v>224</v>
      </c>
      <c r="B224">
        <v>22</v>
      </c>
      <c r="C224" t="str">
        <f t="shared" si="30"/>
        <v>Young Adult</v>
      </c>
      <c r="D224" t="s">
        <v>21</v>
      </c>
      <c r="E224" t="s">
        <v>22</v>
      </c>
      <c r="F224" t="s">
        <v>44</v>
      </c>
      <c r="G224">
        <v>4.2</v>
      </c>
      <c r="H224" t="str">
        <f t="shared" si="31"/>
        <v>Moderate Use</v>
      </c>
      <c r="I224" t="s">
        <v>41</v>
      </c>
      <c r="J224" t="s">
        <v>26</v>
      </c>
      <c r="K224">
        <v>7.8</v>
      </c>
      <c r="L224" t="str">
        <f t="shared" si="32"/>
        <v>Sufficient Sleep</v>
      </c>
      <c r="M224">
        <v>7</v>
      </c>
      <c r="N224" t="str">
        <f t="shared" si="33"/>
        <v>Sever</v>
      </c>
      <c r="O224" t="s">
        <v>20</v>
      </c>
      <c r="P224">
        <v>4</v>
      </c>
      <c r="Q224" t="str">
        <f t="shared" si="29"/>
        <v>Low</v>
      </c>
    </row>
    <row r="225" spans="1:17" hidden="1" x14ac:dyDescent="0.3">
      <c r="A225">
        <v>225</v>
      </c>
      <c r="B225">
        <v>19</v>
      </c>
      <c r="C225" t="str">
        <f t="shared" si="30"/>
        <v>Teenager</v>
      </c>
      <c r="D225" t="s">
        <v>13</v>
      </c>
      <c r="E225" t="s">
        <v>14</v>
      </c>
      <c r="F225" t="s">
        <v>51</v>
      </c>
      <c r="G225">
        <v>3.8</v>
      </c>
      <c r="H225" t="str">
        <f t="shared" si="31"/>
        <v>Low Use</v>
      </c>
      <c r="I225" t="s">
        <v>211</v>
      </c>
      <c r="J225" t="s">
        <v>26</v>
      </c>
      <c r="K225">
        <v>7.9</v>
      </c>
      <c r="L225" t="str">
        <f t="shared" si="32"/>
        <v>Sufficient Sleep</v>
      </c>
      <c r="M225">
        <v>8</v>
      </c>
      <c r="N225" t="str">
        <f t="shared" si="33"/>
        <v>Sever</v>
      </c>
      <c r="O225" t="s">
        <v>28</v>
      </c>
      <c r="Q225">
        <v>3</v>
      </c>
    </row>
    <row r="226" spans="1:17" hidden="1" x14ac:dyDescent="0.3">
      <c r="A226">
        <v>226</v>
      </c>
      <c r="B226">
        <v>21</v>
      </c>
      <c r="C226" t="str">
        <f t="shared" si="30"/>
        <v>Young Adult</v>
      </c>
      <c r="D226" t="s">
        <v>21</v>
      </c>
      <c r="E226" t="s">
        <v>22</v>
      </c>
      <c r="F226" t="s">
        <v>60</v>
      </c>
      <c r="G226">
        <v>5.5</v>
      </c>
      <c r="H226" t="str">
        <f t="shared" si="31"/>
        <v>Moderate Use</v>
      </c>
      <c r="I226" t="s">
        <v>17</v>
      </c>
      <c r="J226" t="s">
        <v>18</v>
      </c>
      <c r="K226">
        <v>6.8</v>
      </c>
      <c r="L226" t="str">
        <f t="shared" si="32"/>
        <v>Severly Deficient Sleep</v>
      </c>
      <c r="M226">
        <v>6</v>
      </c>
      <c r="N226" t="str">
        <f t="shared" si="33"/>
        <v>Moderate</v>
      </c>
      <c r="O226" t="s">
        <v>28</v>
      </c>
      <c r="P226">
        <v>7</v>
      </c>
      <c r="Q226" t="str">
        <f>IF(P226&gt;=7,"High",IF(P226&gt;=5,"Medium","Low"))</f>
        <v>High</v>
      </c>
    </row>
    <row r="227" spans="1:17" hidden="1" x14ac:dyDescent="0.3">
      <c r="A227">
        <v>227</v>
      </c>
      <c r="B227">
        <v>20</v>
      </c>
      <c r="C227" t="str">
        <f t="shared" si="30"/>
        <v>Young Adult</v>
      </c>
      <c r="D227" t="s">
        <v>13</v>
      </c>
      <c r="E227" t="s">
        <v>14</v>
      </c>
      <c r="F227" t="s">
        <v>53</v>
      </c>
      <c r="G227">
        <v>5.2</v>
      </c>
      <c r="H227" t="str">
        <f t="shared" si="31"/>
        <v>Moderate Use</v>
      </c>
      <c r="I227" t="s">
        <v>212</v>
      </c>
      <c r="J227" t="s">
        <v>18</v>
      </c>
      <c r="K227">
        <v>6.5</v>
      </c>
      <c r="L227" t="str">
        <f t="shared" si="32"/>
        <v>Severly Deficient Sleep</v>
      </c>
      <c r="M227">
        <v>6</v>
      </c>
      <c r="N227" t="str">
        <f t="shared" si="33"/>
        <v>Moderate</v>
      </c>
      <c r="O227" t="s">
        <v>20</v>
      </c>
      <c r="Q227">
        <v>6</v>
      </c>
    </row>
    <row r="228" spans="1:17" hidden="1" x14ac:dyDescent="0.3">
      <c r="A228">
        <v>228</v>
      </c>
      <c r="B228">
        <v>22</v>
      </c>
      <c r="C228" t="str">
        <f t="shared" si="30"/>
        <v>Young Adult</v>
      </c>
      <c r="D228" t="s">
        <v>21</v>
      </c>
      <c r="E228" t="s">
        <v>22</v>
      </c>
      <c r="F228" t="s">
        <v>63</v>
      </c>
      <c r="G228">
        <v>4.8</v>
      </c>
      <c r="H228" t="str">
        <f t="shared" si="31"/>
        <v>Moderate Use</v>
      </c>
      <c r="I228" t="s">
        <v>213</v>
      </c>
      <c r="J228" t="s">
        <v>26</v>
      </c>
      <c r="K228">
        <v>7.2</v>
      </c>
      <c r="L228" t="str">
        <f t="shared" si="32"/>
        <v>Sufficient Sleep</v>
      </c>
      <c r="M228">
        <v>7</v>
      </c>
      <c r="N228" t="str">
        <f t="shared" si="33"/>
        <v>Sever</v>
      </c>
      <c r="O228" t="s">
        <v>28</v>
      </c>
      <c r="Q228">
        <v>5</v>
      </c>
    </row>
    <row r="229" spans="1:17" x14ac:dyDescent="0.3">
      <c r="A229">
        <v>229</v>
      </c>
      <c r="B229">
        <v>19</v>
      </c>
      <c r="C229" t="str">
        <f t="shared" si="30"/>
        <v>Teenager</v>
      </c>
      <c r="D229" t="s">
        <v>13</v>
      </c>
      <c r="E229" t="s">
        <v>14</v>
      </c>
      <c r="F229" t="s">
        <v>29</v>
      </c>
      <c r="G229">
        <v>7</v>
      </c>
      <c r="H229" t="str">
        <f t="shared" si="31"/>
        <v>Heavy Use</v>
      </c>
      <c r="I229" t="s">
        <v>31</v>
      </c>
      <c r="J229" t="s">
        <v>18</v>
      </c>
      <c r="K229">
        <v>5.8</v>
      </c>
      <c r="L229" t="str">
        <f t="shared" si="32"/>
        <v>Severly Deficient Sleep</v>
      </c>
      <c r="M229">
        <v>4</v>
      </c>
      <c r="N229" t="str">
        <f t="shared" si="33"/>
        <v>Mild</v>
      </c>
      <c r="O229" t="s">
        <v>20</v>
      </c>
      <c r="P229">
        <v>9</v>
      </c>
      <c r="Q229" t="str">
        <f>IF(P229&gt;=7,"High",IF(P229&gt;=6,"Medium","Low"))</f>
        <v>High</v>
      </c>
    </row>
    <row r="230" spans="1:17" hidden="1" x14ac:dyDescent="0.3">
      <c r="A230">
        <v>230</v>
      </c>
      <c r="B230">
        <v>21</v>
      </c>
      <c r="C230" t="str">
        <f t="shared" si="30"/>
        <v>Young Adult</v>
      </c>
      <c r="D230" t="s">
        <v>21</v>
      </c>
      <c r="E230" t="s">
        <v>22</v>
      </c>
      <c r="F230" t="s">
        <v>35</v>
      </c>
      <c r="G230">
        <v>5.5</v>
      </c>
      <c r="H230" t="str">
        <f t="shared" si="31"/>
        <v>Moderate Use</v>
      </c>
      <c r="I230" t="s">
        <v>17</v>
      </c>
      <c r="J230" t="s">
        <v>18</v>
      </c>
      <c r="K230">
        <v>6.7</v>
      </c>
      <c r="L230" t="str">
        <f t="shared" si="32"/>
        <v>Severly Deficient Sleep</v>
      </c>
      <c r="M230">
        <v>6</v>
      </c>
      <c r="N230" t="str">
        <f t="shared" si="33"/>
        <v>Moderate</v>
      </c>
      <c r="O230" t="s">
        <v>28</v>
      </c>
      <c r="P230">
        <v>7</v>
      </c>
      <c r="Q230" t="str">
        <f t="shared" ref="Q229:Q232" si="34">IF(P230&gt;=7,"High",IF(P230&gt;=5,"Medium","Low"))</f>
        <v>High</v>
      </c>
    </row>
    <row r="231" spans="1:17" hidden="1" x14ac:dyDescent="0.3">
      <c r="A231">
        <v>231</v>
      </c>
      <c r="B231">
        <v>20</v>
      </c>
      <c r="C231" t="str">
        <f t="shared" si="30"/>
        <v>Young Adult</v>
      </c>
      <c r="D231" t="s">
        <v>13</v>
      </c>
      <c r="E231" t="s">
        <v>14</v>
      </c>
      <c r="F231" t="s">
        <v>42</v>
      </c>
      <c r="G231">
        <v>4.7</v>
      </c>
      <c r="H231" t="str">
        <f t="shared" si="31"/>
        <v>Moderate Use</v>
      </c>
      <c r="I231" t="s">
        <v>41</v>
      </c>
      <c r="J231" t="s">
        <v>26</v>
      </c>
      <c r="K231">
        <v>7.4</v>
      </c>
      <c r="L231" t="str">
        <f t="shared" si="32"/>
        <v>Sufficient Sleep</v>
      </c>
      <c r="M231">
        <v>7</v>
      </c>
      <c r="N231" t="str">
        <f t="shared" si="33"/>
        <v>Sever</v>
      </c>
      <c r="O231" t="s">
        <v>20</v>
      </c>
      <c r="P231">
        <v>5</v>
      </c>
      <c r="Q231" t="str">
        <f t="shared" si="34"/>
        <v>Medium</v>
      </c>
    </row>
    <row r="232" spans="1:17" hidden="1" x14ac:dyDescent="0.3">
      <c r="A232">
        <v>232</v>
      </c>
      <c r="B232">
        <v>22</v>
      </c>
      <c r="C232" t="str">
        <f t="shared" si="30"/>
        <v>Young Adult</v>
      </c>
      <c r="D232" t="s">
        <v>21</v>
      </c>
      <c r="E232" t="s">
        <v>22</v>
      </c>
      <c r="F232" t="s">
        <v>44</v>
      </c>
      <c r="G232">
        <v>4</v>
      </c>
      <c r="H232" t="str">
        <f t="shared" si="31"/>
        <v>Moderate Use</v>
      </c>
      <c r="I232" t="s">
        <v>17</v>
      </c>
      <c r="J232" t="s">
        <v>26</v>
      </c>
      <c r="K232">
        <v>7.9</v>
      </c>
      <c r="L232" t="str">
        <f t="shared" si="32"/>
        <v>Sufficient Sleep</v>
      </c>
      <c r="M232">
        <v>8</v>
      </c>
      <c r="N232" t="str">
        <f t="shared" si="33"/>
        <v>Sever</v>
      </c>
      <c r="O232" t="s">
        <v>28</v>
      </c>
      <c r="P232">
        <v>4</v>
      </c>
      <c r="Q232" t="str">
        <f t="shared" si="34"/>
        <v>Low</v>
      </c>
    </row>
    <row r="233" spans="1:17" hidden="1" x14ac:dyDescent="0.3">
      <c r="A233">
        <v>233</v>
      </c>
      <c r="B233">
        <v>19</v>
      </c>
      <c r="C233" t="str">
        <f t="shared" si="30"/>
        <v>Teenager</v>
      </c>
      <c r="D233" t="s">
        <v>13</v>
      </c>
      <c r="E233" t="s">
        <v>14</v>
      </c>
      <c r="F233" t="s">
        <v>51</v>
      </c>
      <c r="G233">
        <v>3.5</v>
      </c>
      <c r="H233" t="str">
        <f t="shared" si="31"/>
        <v>Low Use</v>
      </c>
      <c r="I233" t="s">
        <v>211</v>
      </c>
      <c r="J233" t="s">
        <v>26</v>
      </c>
      <c r="K233">
        <v>8</v>
      </c>
      <c r="L233" t="str">
        <f t="shared" si="32"/>
        <v>Sufficient Sleep</v>
      </c>
      <c r="M233">
        <v>8</v>
      </c>
      <c r="N233" t="str">
        <f t="shared" si="33"/>
        <v>Sever</v>
      </c>
      <c r="O233" t="s">
        <v>28</v>
      </c>
      <c r="Q233">
        <v>3</v>
      </c>
    </row>
    <row r="234" spans="1:17" hidden="1" x14ac:dyDescent="0.3">
      <c r="A234">
        <v>234</v>
      </c>
      <c r="B234">
        <v>21</v>
      </c>
      <c r="C234" t="str">
        <f t="shared" si="30"/>
        <v>Young Adult</v>
      </c>
      <c r="D234" t="s">
        <v>21</v>
      </c>
      <c r="E234" t="s">
        <v>22</v>
      </c>
      <c r="F234" t="s">
        <v>60</v>
      </c>
      <c r="G234">
        <v>5.7</v>
      </c>
      <c r="H234" t="str">
        <f t="shared" si="31"/>
        <v>Moderate Use</v>
      </c>
      <c r="I234" t="s">
        <v>31</v>
      </c>
      <c r="J234" t="s">
        <v>18</v>
      </c>
      <c r="K234">
        <v>6.5</v>
      </c>
      <c r="L234" t="str">
        <f t="shared" si="32"/>
        <v>Severly Deficient Sleep</v>
      </c>
      <c r="M234">
        <v>5</v>
      </c>
      <c r="N234" t="str">
        <f t="shared" si="33"/>
        <v>Moderate</v>
      </c>
      <c r="O234" t="s">
        <v>20</v>
      </c>
      <c r="P234">
        <v>8</v>
      </c>
      <c r="Q234" t="str">
        <f>IF(P234&gt;=7,"High",IF(P234&gt;=5,"Medium","Low"))</f>
        <v>High</v>
      </c>
    </row>
    <row r="235" spans="1:17" hidden="1" x14ac:dyDescent="0.3">
      <c r="A235">
        <v>235</v>
      </c>
      <c r="B235">
        <v>20</v>
      </c>
      <c r="C235" t="str">
        <f t="shared" si="30"/>
        <v>Young Adult</v>
      </c>
      <c r="D235" t="s">
        <v>13</v>
      </c>
      <c r="E235" t="s">
        <v>14</v>
      </c>
      <c r="F235" t="s">
        <v>53</v>
      </c>
      <c r="G235">
        <v>5</v>
      </c>
      <c r="H235" t="str">
        <f t="shared" si="31"/>
        <v>Moderate Use</v>
      </c>
      <c r="I235" t="s">
        <v>212</v>
      </c>
      <c r="J235" t="s">
        <v>18</v>
      </c>
      <c r="K235">
        <v>6.8</v>
      </c>
      <c r="L235" t="str">
        <f t="shared" si="32"/>
        <v>Severly Deficient Sleep</v>
      </c>
      <c r="M235">
        <v>6</v>
      </c>
      <c r="N235" t="str">
        <f t="shared" si="33"/>
        <v>Moderate</v>
      </c>
      <c r="O235" t="s">
        <v>28</v>
      </c>
      <c r="Q235">
        <v>6</v>
      </c>
    </row>
    <row r="236" spans="1:17" hidden="1" x14ac:dyDescent="0.3">
      <c r="A236">
        <v>236</v>
      </c>
      <c r="B236">
        <v>22</v>
      </c>
      <c r="C236" t="str">
        <f t="shared" si="30"/>
        <v>Young Adult</v>
      </c>
      <c r="D236" t="s">
        <v>21</v>
      </c>
      <c r="E236" t="s">
        <v>22</v>
      </c>
      <c r="F236" t="s">
        <v>63</v>
      </c>
      <c r="G236">
        <v>4.5</v>
      </c>
      <c r="H236" t="str">
        <f t="shared" si="31"/>
        <v>Moderate Use</v>
      </c>
      <c r="I236" t="s">
        <v>213</v>
      </c>
      <c r="J236" t="s">
        <v>26</v>
      </c>
      <c r="K236">
        <v>7.4</v>
      </c>
      <c r="L236" t="str">
        <f t="shared" si="32"/>
        <v>Sufficient Sleep</v>
      </c>
      <c r="M236">
        <v>7</v>
      </c>
      <c r="N236" t="str">
        <f t="shared" si="33"/>
        <v>Sever</v>
      </c>
      <c r="O236" t="s">
        <v>20</v>
      </c>
      <c r="Q236">
        <v>5</v>
      </c>
    </row>
    <row r="237" spans="1:17" x14ac:dyDescent="0.3">
      <c r="A237">
        <v>237</v>
      </c>
      <c r="B237">
        <v>19</v>
      </c>
      <c r="C237" t="str">
        <f t="shared" si="30"/>
        <v>Teenager</v>
      </c>
      <c r="D237" t="s">
        <v>13</v>
      </c>
      <c r="E237" t="s">
        <v>14</v>
      </c>
      <c r="F237" t="s">
        <v>29</v>
      </c>
      <c r="G237">
        <v>6.8</v>
      </c>
      <c r="H237" t="str">
        <f t="shared" si="31"/>
        <v>Heavy Use</v>
      </c>
      <c r="I237" t="s">
        <v>17</v>
      </c>
      <c r="J237" t="s">
        <v>18</v>
      </c>
      <c r="K237">
        <v>5.9</v>
      </c>
      <c r="L237" t="str">
        <f t="shared" si="32"/>
        <v>Severly Deficient Sleep</v>
      </c>
      <c r="M237">
        <v>4</v>
      </c>
      <c r="N237" t="str">
        <f t="shared" si="33"/>
        <v>Mild</v>
      </c>
      <c r="O237" t="s">
        <v>28</v>
      </c>
      <c r="P237">
        <v>9</v>
      </c>
      <c r="Q237" t="str">
        <f>IF(P237&gt;=7,"High",IF(P237&gt;=6,"Medium","Low"))</f>
        <v>High</v>
      </c>
    </row>
    <row r="238" spans="1:17" hidden="1" x14ac:dyDescent="0.3">
      <c r="A238">
        <v>238</v>
      </c>
      <c r="B238">
        <v>21</v>
      </c>
      <c r="C238" t="str">
        <f t="shared" si="30"/>
        <v>Young Adult</v>
      </c>
      <c r="D238" t="s">
        <v>21</v>
      </c>
      <c r="E238" t="s">
        <v>22</v>
      </c>
      <c r="F238" t="s">
        <v>35</v>
      </c>
      <c r="G238">
        <v>5.6</v>
      </c>
      <c r="H238" t="str">
        <f t="shared" si="31"/>
        <v>Moderate Use</v>
      </c>
      <c r="I238" t="s">
        <v>41</v>
      </c>
      <c r="J238" t="s">
        <v>18</v>
      </c>
      <c r="K238">
        <v>6.6</v>
      </c>
      <c r="L238" t="str">
        <f t="shared" si="32"/>
        <v>Severly Deficient Sleep</v>
      </c>
      <c r="M238">
        <v>6</v>
      </c>
      <c r="N238" t="str">
        <f t="shared" si="33"/>
        <v>Moderate</v>
      </c>
      <c r="O238" t="s">
        <v>20</v>
      </c>
      <c r="P238">
        <v>7</v>
      </c>
      <c r="Q238" t="str">
        <f t="shared" ref="Q237:Q240" si="35">IF(P238&gt;=7,"High",IF(P238&gt;=5,"Medium","Low"))</f>
        <v>High</v>
      </c>
    </row>
    <row r="239" spans="1:17" hidden="1" x14ac:dyDescent="0.3">
      <c r="A239">
        <v>239</v>
      </c>
      <c r="B239">
        <v>20</v>
      </c>
      <c r="C239" t="str">
        <f t="shared" si="30"/>
        <v>Young Adult</v>
      </c>
      <c r="D239" t="s">
        <v>13</v>
      </c>
      <c r="E239" t="s">
        <v>14</v>
      </c>
      <c r="F239" t="s">
        <v>42</v>
      </c>
      <c r="G239">
        <v>4.5999999999999996</v>
      </c>
      <c r="H239" t="str">
        <f t="shared" si="31"/>
        <v>Moderate Use</v>
      </c>
      <c r="I239" t="s">
        <v>17</v>
      </c>
      <c r="J239" t="s">
        <v>26</v>
      </c>
      <c r="K239">
        <v>7.3</v>
      </c>
      <c r="L239" t="str">
        <f t="shared" si="32"/>
        <v>Sufficient Sleep</v>
      </c>
      <c r="M239">
        <v>7</v>
      </c>
      <c r="N239" t="str">
        <f t="shared" si="33"/>
        <v>Sever</v>
      </c>
      <c r="O239" t="s">
        <v>28</v>
      </c>
      <c r="P239">
        <v>5</v>
      </c>
      <c r="Q239" t="str">
        <f t="shared" si="35"/>
        <v>Medium</v>
      </c>
    </row>
    <row r="240" spans="1:17" hidden="1" x14ac:dyDescent="0.3">
      <c r="A240">
        <v>240</v>
      </c>
      <c r="B240">
        <v>22</v>
      </c>
      <c r="C240" t="str">
        <f t="shared" si="30"/>
        <v>Young Adult</v>
      </c>
      <c r="D240" t="s">
        <v>21</v>
      </c>
      <c r="E240" t="s">
        <v>22</v>
      </c>
      <c r="F240" t="s">
        <v>44</v>
      </c>
      <c r="G240">
        <v>4.0999999999999996</v>
      </c>
      <c r="H240" t="str">
        <f t="shared" si="31"/>
        <v>Moderate Use</v>
      </c>
      <c r="I240" t="s">
        <v>41</v>
      </c>
      <c r="J240" t="s">
        <v>26</v>
      </c>
      <c r="K240">
        <v>7.7</v>
      </c>
      <c r="L240" t="str">
        <f t="shared" si="32"/>
        <v>Sufficient Sleep</v>
      </c>
      <c r="M240">
        <v>8</v>
      </c>
      <c r="N240" t="str">
        <f t="shared" si="33"/>
        <v>Sever</v>
      </c>
      <c r="O240" t="s">
        <v>20</v>
      </c>
      <c r="P240">
        <v>4</v>
      </c>
      <c r="Q240" t="str">
        <f t="shared" si="35"/>
        <v>Low</v>
      </c>
    </row>
    <row r="241" spans="1:17" hidden="1" x14ac:dyDescent="0.3">
      <c r="A241">
        <v>241</v>
      </c>
      <c r="B241">
        <v>19</v>
      </c>
      <c r="C241" t="str">
        <f t="shared" si="30"/>
        <v>Teenager</v>
      </c>
      <c r="D241" t="s">
        <v>13</v>
      </c>
      <c r="E241" t="s">
        <v>14</v>
      </c>
      <c r="F241" t="s">
        <v>51</v>
      </c>
      <c r="G241">
        <v>3.7</v>
      </c>
      <c r="H241" t="str">
        <f t="shared" si="31"/>
        <v>Low Use</v>
      </c>
      <c r="I241" t="s">
        <v>211</v>
      </c>
      <c r="J241" t="s">
        <v>26</v>
      </c>
      <c r="K241">
        <v>7.8</v>
      </c>
      <c r="L241" t="str">
        <f t="shared" si="32"/>
        <v>Sufficient Sleep</v>
      </c>
      <c r="M241">
        <v>8</v>
      </c>
      <c r="N241" t="str">
        <f t="shared" si="33"/>
        <v>Sever</v>
      </c>
      <c r="O241" t="s">
        <v>28</v>
      </c>
      <c r="Q241">
        <v>3</v>
      </c>
    </row>
    <row r="242" spans="1:17" hidden="1" x14ac:dyDescent="0.3">
      <c r="A242">
        <v>242</v>
      </c>
      <c r="B242">
        <v>21</v>
      </c>
      <c r="C242" t="str">
        <f t="shared" si="30"/>
        <v>Young Adult</v>
      </c>
      <c r="D242" t="s">
        <v>21</v>
      </c>
      <c r="E242" t="s">
        <v>22</v>
      </c>
      <c r="F242" t="s">
        <v>60</v>
      </c>
      <c r="G242">
        <v>5.4</v>
      </c>
      <c r="H242" t="str">
        <f t="shared" si="31"/>
        <v>Moderate Use</v>
      </c>
      <c r="I242" t="s">
        <v>17</v>
      </c>
      <c r="J242" t="s">
        <v>18</v>
      </c>
      <c r="K242">
        <v>6.7</v>
      </c>
      <c r="L242" t="str">
        <f t="shared" si="32"/>
        <v>Severly Deficient Sleep</v>
      </c>
      <c r="M242">
        <v>5</v>
      </c>
      <c r="N242" t="str">
        <f t="shared" si="33"/>
        <v>Moderate</v>
      </c>
      <c r="O242" t="s">
        <v>28</v>
      </c>
      <c r="P242">
        <v>7</v>
      </c>
      <c r="Q242" t="str">
        <f>IF(P242&gt;=7,"High",IF(P242&gt;=5,"Medium","Low"))</f>
        <v>High</v>
      </c>
    </row>
    <row r="243" spans="1:17" hidden="1" x14ac:dyDescent="0.3">
      <c r="A243">
        <v>243</v>
      </c>
      <c r="B243">
        <v>20</v>
      </c>
      <c r="C243" t="str">
        <f t="shared" si="30"/>
        <v>Young Adult</v>
      </c>
      <c r="D243" t="s">
        <v>13</v>
      </c>
      <c r="E243" t="s">
        <v>14</v>
      </c>
      <c r="F243" t="s">
        <v>53</v>
      </c>
      <c r="G243">
        <v>5.0999999999999996</v>
      </c>
      <c r="H243" t="str">
        <f t="shared" si="31"/>
        <v>Moderate Use</v>
      </c>
      <c r="I243" t="s">
        <v>212</v>
      </c>
      <c r="J243" t="s">
        <v>18</v>
      </c>
      <c r="K243">
        <v>6.6</v>
      </c>
      <c r="L243" t="str">
        <f t="shared" si="32"/>
        <v>Severly Deficient Sleep</v>
      </c>
      <c r="M243">
        <v>6</v>
      </c>
      <c r="N243" t="str">
        <f t="shared" si="33"/>
        <v>Moderate</v>
      </c>
      <c r="O243" t="s">
        <v>20</v>
      </c>
      <c r="Q243">
        <v>6</v>
      </c>
    </row>
    <row r="244" spans="1:17" hidden="1" x14ac:dyDescent="0.3">
      <c r="A244">
        <v>244</v>
      </c>
      <c r="B244">
        <v>22</v>
      </c>
      <c r="C244" t="str">
        <f t="shared" si="30"/>
        <v>Young Adult</v>
      </c>
      <c r="D244" t="s">
        <v>21</v>
      </c>
      <c r="E244" t="s">
        <v>22</v>
      </c>
      <c r="F244" t="s">
        <v>63</v>
      </c>
      <c r="G244">
        <v>4.7</v>
      </c>
      <c r="H244" t="str">
        <f t="shared" si="31"/>
        <v>Moderate Use</v>
      </c>
      <c r="I244" t="s">
        <v>213</v>
      </c>
      <c r="J244" t="s">
        <v>26</v>
      </c>
      <c r="K244">
        <v>7.3</v>
      </c>
      <c r="L244" t="str">
        <f t="shared" si="32"/>
        <v>Sufficient Sleep</v>
      </c>
      <c r="M244">
        <v>7</v>
      </c>
      <c r="N244" t="str">
        <f t="shared" si="33"/>
        <v>Sever</v>
      </c>
      <c r="O244" t="s">
        <v>28</v>
      </c>
      <c r="Q244">
        <v>5</v>
      </c>
    </row>
    <row r="245" spans="1:17" x14ac:dyDescent="0.3">
      <c r="A245">
        <v>245</v>
      </c>
      <c r="B245">
        <v>19</v>
      </c>
      <c r="C245" t="str">
        <f t="shared" si="30"/>
        <v>Teenager</v>
      </c>
      <c r="D245" t="s">
        <v>13</v>
      </c>
      <c r="E245" t="s">
        <v>14</v>
      </c>
      <c r="F245" t="s">
        <v>29</v>
      </c>
      <c r="G245">
        <v>6.9</v>
      </c>
      <c r="H245" t="str">
        <f t="shared" si="31"/>
        <v>Heavy Use</v>
      </c>
      <c r="I245" t="s">
        <v>31</v>
      </c>
      <c r="J245" t="s">
        <v>18</v>
      </c>
      <c r="K245">
        <v>5.7</v>
      </c>
      <c r="L245" t="str">
        <f t="shared" si="32"/>
        <v>Severly Deficient Sleep</v>
      </c>
      <c r="M245">
        <v>4</v>
      </c>
      <c r="N245" t="str">
        <f t="shared" si="33"/>
        <v>Mild</v>
      </c>
      <c r="O245" t="s">
        <v>20</v>
      </c>
      <c r="P245">
        <v>9</v>
      </c>
      <c r="Q245" t="str">
        <f>IF(P245&gt;=7,"High",IF(P245&gt;=6,"Medium","Low"))</f>
        <v>High</v>
      </c>
    </row>
    <row r="246" spans="1:17" hidden="1" x14ac:dyDescent="0.3">
      <c r="A246">
        <v>246</v>
      </c>
      <c r="B246">
        <v>21</v>
      </c>
      <c r="C246" t="str">
        <f t="shared" si="30"/>
        <v>Young Adult</v>
      </c>
      <c r="D246" t="s">
        <v>21</v>
      </c>
      <c r="E246" t="s">
        <v>22</v>
      </c>
      <c r="F246" t="s">
        <v>35</v>
      </c>
      <c r="G246">
        <v>5.7</v>
      </c>
      <c r="H246" t="str">
        <f t="shared" si="31"/>
        <v>Moderate Use</v>
      </c>
      <c r="I246" t="s">
        <v>17</v>
      </c>
      <c r="J246" t="s">
        <v>18</v>
      </c>
      <c r="K246">
        <v>6.4</v>
      </c>
      <c r="L246" t="str">
        <f t="shared" si="32"/>
        <v>Severly Deficient Sleep</v>
      </c>
      <c r="M246">
        <v>6</v>
      </c>
      <c r="N246" t="str">
        <f t="shared" si="33"/>
        <v>Moderate</v>
      </c>
      <c r="O246" t="s">
        <v>28</v>
      </c>
      <c r="P246">
        <v>7</v>
      </c>
      <c r="Q246" t="str">
        <f t="shared" ref="Q245:Q248" si="36">IF(P246&gt;=7,"High",IF(P246&gt;=5,"Medium","Low"))</f>
        <v>High</v>
      </c>
    </row>
    <row r="247" spans="1:17" hidden="1" x14ac:dyDescent="0.3">
      <c r="A247">
        <v>247</v>
      </c>
      <c r="B247">
        <v>20</v>
      </c>
      <c r="C247" t="str">
        <f t="shared" si="30"/>
        <v>Young Adult</v>
      </c>
      <c r="D247" t="s">
        <v>13</v>
      </c>
      <c r="E247" t="s">
        <v>14</v>
      </c>
      <c r="F247" t="s">
        <v>42</v>
      </c>
      <c r="G247">
        <v>4.8</v>
      </c>
      <c r="H247" t="str">
        <f t="shared" si="31"/>
        <v>Moderate Use</v>
      </c>
      <c r="I247" t="s">
        <v>41</v>
      </c>
      <c r="J247" t="s">
        <v>26</v>
      </c>
      <c r="K247">
        <v>7.2</v>
      </c>
      <c r="L247" t="str">
        <f t="shared" si="32"/>
        <v>Sufficient Sleep</v>
      </c>
      <c r="M247">
        <v>7</v>
      </c>
      <c r="N247" t="str">
        <f t="shared" si="33"/>
        <v>Sever</v>
      </c>
      <c r="O247" t="s">
        <v>20</v>
      </c>
      <c r="P247">
        <v>5</v>
      </c>
      <c r="Q247" t="str">
        <f t="shared" si="36"/>
        <v>Medium</v>
      </c>
    </row>
    <row r="248" spans="1:17" hidden="1" x14ac:dyDescent="0.3">
      <c r="A248">
        <v>248</v>
      </c>
      <c r="B248">
        <v>22</v>
      </c>
      <c r="C248" t="str">
        <f t="shared" si="30"/>
        <v>Young Adult</v>
      </c>
      <c r="D248" t="s">
        <v>21</v>
      </c>
      <c r="E248" t="s">
        <v>22</v>
      </c>
      <c r="F248" t="s">
        <v>44</v>
      </c>
      <c r="G248">
        <v>3.9</v>
      </c>
      <c r="H248" t="str">
        <f t="shared" si="31"/>
        <v>Low Use</v>
      </c>
      <c r="I248" t="s">
        <v>17</v>
      </c>
      <c r="J248" t="s">
        <v>26</v>
      </c>
      <c r="K248">
        <v>7.8</v>
      </c>
      <c r="L248" t="str">
        <f t="shared" si="32"/>
        <v>Sufficient Sleep</v>
      </c>
      <c r="M248">
        <v>8</v>
      </c>
      <c r="N248" t="str">
        <f t="shared" si="33"/>
        <v>Sever</v>
      </c>
      <c r="O248" t="s">
        <v>28</v>
      </c>
      <c r="P248">
        <v>4</v>
      </c>
      <c r="Q248" t="str">
        <f t="shared" si="36"/>
        <v>Low</v>
      </c>
    </row>
    <row r="249" spans="1:17" hidden="1" x14ac:dyDescent="0.3">
      <c r="A249">
        <v>249</v>
      </c>
      <c r="B249">
        <v>19</v>
      </c>
      <c r="C249" t="str">
        <f t="shared" si="30"/>
        <v>Teenager</v>
      </c>
      <c r="D249" t="s">
        <v>13</v>
      </c>
      <c r="E249" t="s">
        <v>14</v>
      </c>
      <c r="F249" t="s">
        <v>51</v>
      </c>
      <c r="G249">
        <v>3.6</v>
      </c>
      <c r="H249" t="str">
        <f t="shared" si="31"/>
        <v>Low Use</v>
      </c>
      <c r="I249" t="s">
        <v>211</v>
      </c>
      <c r="J249" t="s">
        <v>26</v>
      </c>
      <c r="K249">
        <v>8.1</v>
      </c>
      <c r="L249" t="str">
        <f t="shared" si="32"/>
        <v>Sufficient Sleep</v>
      </c>
      <c r="M249">
        <v>8</v>
      </c>
      <c r="N249" t="str">
        <f t="shared" si="33"/>
        <v>Sever</v>
      </c>
      <c r="O249" t="s">
        <v>28</v>
      </c>
      <c r="Q249">
        <v>3</v>
      </c>
    </row>
    <row r="250" spans="1:17" hidden="1" x14ac:dyDescent="0.3">
      <c r="A250">
        <v>250</v>
      </c>
      <c r="B250">
        <v>21</v>
      </c>
      <c r="C250" t="str">
        <f t="shared" si="30"/>
        <v>Young Adult</v>
      </c>
      <c r="D250" t="s">
        <v>21</v>
      </c>
      <c r="E250" t="s">
        <v>22</v>
      </c>
      <c r="F250" t="s">
        <v>60</v>
      </c>
      <c r="G250">
        <v>5.6</v>
      </c>
      <c r="H250" t="str">
        <f t="shared" si="31"/>
        <v>Moderate Use</v>
      </c>
      <c r="I250" t="s">
        <v>31</v>
      </c>
      <c r="J250" t="s">
        <v>18</v>
      </c>
      <c r="K250">
        <v>6.6</v>
      </c>
      <c r="L250" t="str">
        <f t="shared" si="32"/>
        <v>Severly Deficient Sleep</v>
      </c>
      <c r="M250">
        <v>5</v>
      </c>
      <c r="N250" t="str">
        <f t="shared" si="33"/>
        <v>Moderate</v>
      </c>
      <c r="O250" t="s">
        <v>20</v>
      </c>
      <c r="P250">
        <v>8</v>
      </c>
      <c r="Q250" t="str">
        <f>IF(P250&gt;=7,"High",IF(P250&gt;=5,"Medium","Low"))</f>
        <v>High</v>
      </c>
    </row>
    <row r="251" spans="1:17" hidden="1" x14ac:dyDescent="0.3">
      <c r="A251">
        <v>251</v>
      </c>
      <c r="B251">
        <v>20</v>
      </c>
      <c r="C251" t="str">
        <f t="shared" si="30"/>
        <v>Young Adult</v>
      </c>
      <c r="D251" t="s">
        <v>13</v>
      </c>
      <c r="E251" t="s">
        <v>14</v>
      </c>
      <c r="F251" t="s">
        <v>53</v>
      </c>
      <c r="G251">
        <v>4.9000000000000004</v>
      </c>
      <c r="H251" t="str">
        <f t="shared" si="31"/>
        <v>Moderate Use</v>
      </c>
      <c r="I251" t="s">
        <v>212</v>
      </c>
      <c r="J251" t="s">
        <v>18</v>
      </c>
      <c r="K251">
        <v>6.9</v>
      </c>
      <c r="L251" t="str">
        <f t="shared" si="32"/>
        <v>Severly Deficient Sleep</v>
      </c>
      <c r="M251">
        <v>6</v>
      </c>
      <c r="N251" t="str">
        <f t="shared" si="33"/>
        <v>Moderate</v>
      </c>
      <c r="O251" t="s">
        <v>28</v>
      </c>
      <c r="Q251">
        <v>6</v>
      </c>
    </row>
    <row r="252" spans="1:17" hidden="1" x14ac:dyDescent="0.3">
      <c r="A252">
        <v>252</v>
      </c>
      <c r="B252">
        <v>22</v>
      </c>
      <c r="C252" t="str">
        <f t="shared" si="30"/>
        <v>Young Adult</v>
      </c>
      <c r="D252" t="s">
        <v>21</v>
      </c>
      <c r="E252" t="s">
        <v>22</v>
      </c>
      <c r="F252" t="s">
        <v>63</v>
      </c>
      <c r="G252">
        <v>4.5999999999999996</v>
      </c>
      <c r="H252" t="str">
        <f t="shared" si="31"/>
        <v>Moderate Use</v>
      </c>
      <c r="I252" t="s">
        <v>213</v>
      </c>
      <c r="J252" t="s">
        <v>26</v>
      </c>
      <c r="K252">
        <v>7.5</v>
      </c>
      <c r="L252" t="str">
        <f t="shared" si="32"/>
        <v>Sufficient Sleep</v>
      </c>
      <c r="M252">
        <v>7</v>
      </c>
      <c r="N252" t="str">
        <f t="shared" si="33"/>
        <v>Sever</v>
      </c>
      <c r="O252" t="s">
        <v>20</v>
      </c>
      <c r="Q252">
        <v>5</v>
      </c>
    </row>
    <row r="253" spans="1:17" x14ac:dyDescent="0.3">
      <c r="A253">
        <v>253</v>
      </c>
      <c r="B253">
        <v>19</v>
      </c>
      <c r="C253" t="str">
        <f t="shared" si="30"/>
        <v>Teenager</v>
      </c>
      <c r="D253" t="s">
        <v>13</v>
      </c>
      <c r="E253" t="s">
        <v>14</v>
      </c>
      <c r="F253" t="s">
        <v>29</v>
      </c>
      <c r="G253">
        <v>6.7</v>
      </c>
      <c r="H253" t="str">
        <f t="shared" si="31"/>
        <v>Heavy Use</v>
      </c>
      <c r="I253" t="s">
        <v>17</v>
      </c>
      <c r="J253" t="s">
        <v>18</v>
      </c>
      <c r="K253">
        <v>5.8</v>
      </c>
      <c r="L253" t="str">
        <f t="shared" si="32"/>
        <v>Severly Deficient Sleep</v>
      </c>
      <c r="M253">
        <v>4</v>
      </c>
      <c r="N253" t="str">
        <f t="shared" si="33"/>
        <v>Mild</v>
      </c>
      <c r="O253" t="s">
        <v>28</v>
      </c>
      <c r="P253">
        <v>9</v>
      </c>
      <c r="Q253" t="str">
        <f>IF(P253&gt;=7,"High",IF(P253&gt;=6,"Medium","Low"))</f>
        <v>High</v>
      </c>
    </row>
    <row r="254" spans="1:17" hidden="1" x14ac:dyDescent="0.3">
      <c r="A254">
        <v>254</v>
      </c>
      <c r="B254">
        <v>21</v>
      </c>
      <c r="C254" t="str">
        <f t="shared" si="30"/>
        <v>Young Adult</v>
      </c>
      <c r="D254" t="s">
        <v>21</v>
      </c>
      <c r="E254" t="s">
        <v>22</v>
      </c>
      <c r="F254" t="s">
        <v>35</v>
      </c>
      <c r="G254">
        <v>5.4</v>
      </c>
      <c r="H254" t="str">
        <f t="shared" si="31"/>
        <v>Moderate Use</v>
      </c>
      <c r="I254" t="s">
        <v>41</v>
      </c>
      <c r="J254" t="s">
        <v>18</v>
      </c>
      <c r="K254">
        <v>6.5</v>
      </c>
      <c r="L254" t="str">
        <f t="shared" si="32"/>
        <v>Severly Deficient Sleep</v>
      </c>
      <c r="M254">
        <v>6</v>
      </c>
      <c r="N254" t="str">
        <f t="shared" si="33"/>
        <v>Moderate</v>
      </c>
      <c r="O254" t="s">
        <v>20</v>
      </c>
      <c r="P254">
        <v>7</v>
      </c>
      <c r="Q254" t="str">
        <f t="shared" ref="Q253:Q256" si="37">IF(P254&gt;=7,"High",IF(P254&gt;=5,"Medium","Low"))</f>
        <v>High</v>
      </c>
    </row>
    <row r="255" spans="1:17" hidden="1" x14ac:dyDescent="0.3">
      <c r="A255">
        <v>255</v>
      </c>
      <c r="B255">
        <v>20</v>
      </c>
      <c r="C255" t="str">
        <f t="shared" si="30"/>
        <v>Young Adult</v>
      </c>
      <c r="D255" t="s">
        <v>13</v>
      </c>
      <c r="E255" t="s">
        <v>14</v>
      </c>
      <c r="F255" t="s">
        <v>42</v>
      </c>
      <c r="G255">
        <v>4.4000000000000004</v>
      </c>
      <c r="H255" t="str">
        <f t="shared" si="31"/>
        <v>Moderate Use</v>
      </c>
      <c r="I255" t="s">
        <v>17</v>
      </c>
      <c r="J255" t="s">
        <v>26</v>
      </c>
      <c r="K255">
        <v>7.4</v>
      </c>
      <c r="L255" t="str">
        <f t="shared" si="32"/>
        <v>Sufficient Sleep</v>
      </c>
      <c r="M255">
        <v>7</v>
      </c>
      <c r="N255" t="str">
        <f t="shared" si="33"/>
        <v>Sever</v>
      </c>
      <c r="O255" t="s">
        <v>28</v>
      </c>
      <c r="P255">
        <v>5</v>
      </c>
      <c r="Q255" t="str">
        <f t="shared" si="37"/>
        <v>Medium</v>
      </c>
    </row>
    <row r="256" spans="1:17" hidden="1" x14ac:dyDescent="0.3">
      <c r="A256">
        <v>256</v>
      </c>
      <c r="B256">
        <v>22</v>
      </c>
      <c r="C256" t="str">
        <f t="shared" si="30"/>
        <v>Young Adult</v>
      </c>
      <c r="D256" t="s">
        <v>21</v>
      </c>
      <c r="E256" t="s">
        <v>22</v>
      </c>
      <c r="F256" t="s">
        <v>44</v>
      </c>
      <c r="G256">
        <v>4</v>
      </c>
      <c r="H256" t="str">
        <f t="shared" si="31"/>
        <v>Moderate Use</v>
      </c>
      <c r="I256" t="s">
        <v>41</v>
      </c>
      <c r="J256" t="s">
        <v>26</v>
      </c>
      <c r="K256">
        <v>7.6</v>
      </c>
      <c r="L256" t="str">
        <f t="shared" si="32"/>
        <v>Sufficient Sleep</v>
      </c>
      <c r="M256">
        <v>8</v>
      </c>
      <c r="N256" t="str">
        <f t="shared" si="33"/>
        <v>Sever</v>
      </c>
      <c r="O256" t="s">
        <v>20</v>
      </c>
      <c r="P256">
        <v>4</v>
      </c>
      <c r="Q256" t="str">
        <f t="shared" si="37"/>
        <v>Low</v>
      </c>
    </row>
    <row r="257" spans="1:17" hidden="1" x14ac:dyDescent="0.3">
      <c r="A257">
        <v>257</v>
      </c>
      <c r="B257">
        <v>19</v>
      </c>
      <c r="C257" t="str">
        <f t="shared" ref="C257:C320" si="38">IF(B257&gt;=20,"Young Adult","Teenager")</f>
        <v>Teenager</v>
      </c>
      <c r="D257" t="s">
        <v>13</v>
      </c>
      <c r="E257" t="s">
        <v>14</v>
      </c>
      <c r="F257" t="s">
        <v>51</v>
      </c>
      <c r="G257">
        <v>3.4</v>
      </c>
      <c r="H257" t="str">
        <f t="shared" ref="H257:H320" si="39">IF(G257&gt;=6,"Heavy Use",IF(G257&gt;=4,"Moderate Use","Low Use"))</f>
        <v>Low Use</v>
      </c>
      <c r="I257" t="s">
        <v>211</v>
      </c>
      <c r="J257" t="s">
        <v>26</v>
      </c>
      <c r="K257">
        <v>8.1999999999999993</v>
      </c>
      <c r="L257" t="str">
        <f t="shared" ref="L257:L320" si="40">IF(K257&gt;=9,"Excessive Sleep",IF(K257&gt;=7,"Sufficient Sleep","Severly Deficient Sleep"))</f>
        <v>Sufficient Sleep</v>
      </c>
      <c r="M257">
        <v>8</v>
      </c>
      <c r="N257" t="str">
        <f t="shared" ref="N257:N320" si="41">IF(M257&gt;=7,"Sever",IF(M257&lt;=4,"Mild","Moderate"))</f>
        <v>Sever</v>
      </c>
      <c r="O257" t="s">
        <v>28</v>
      </c>
      <c r="Q257">
        <v>3</v>
      </c>
    </row>
    <row r="258" spans="1:17" hidden="1" x14ac:dyDescent="0.3">
      <c r="A258">
        <v>258</v>
      </c>
      <c r="B258">
        <v>21</v>
      </c>
      <c r="C258" t="str">
        <f t="shared" si="38"/>
        <v>Young Adult</v>
      </c>
      <c r="D258" t="s">
        <v>21</v>
      </c>
      <c r="E258" t="s">
        <v>22</v>
      </c>
      <c r="F258" t="s">
        <v>60</v>
      </c>
      <c r="G258">
        <v>5.3</v>
      </c>
      <c r="H258" t="str">
        <f t="shared" si="39"/>
        <v>Moderate Use</v>
      </c>
      <c r="I258" t="s">
        <v>17</v>
      </c>
      <c r="J258" t="s">
        <v>18</v>
      </c>
      <c r="K258">
        <v>6.8</v>
      </c>
      <c r="L258" t="str">
        <f t="shared" si="40"/>
        <v>Severly Deficient Sleep</v>
      </c>
      <c r="M258">
        <v>5</v>
      </c>
      <c r="N258" t="str">
        <f t="shared" si="41"/>
        <v>Moderate</v>
      </c>
      <c r="O258" t="s">
        <v>28</v>
      </c>
      <c r="P258">
        <v>7</v>
      </c>
      <c r="Q258" t="str">
        <f>IF(P258&gt;=7,"High",IF(P258&gt;=5,"Medium","Low"))</f>
        <v>High</v>
      </c>
    </row>
    <row r="259" spans="1:17" hidden="1" x14ac:dyDescent="0.3">
      <c r="A259">
        <v>259</v>
      </c>
      <c r="B259">
        <v>20</v>
      </c>
      <c r="C259" t="str">
        <f t="shared" si="38"/>
        <v>Young Adult</v>
      </c>
      <c r="D259" t="s">
        <v>13</v>
      </c>
      <c r="E259" t="s">
        <v>14</v>
      </c>
      <c r="F259" t="s">
        <v>53</v>
      </c>
      <c r="G259">
        <v>5</v>
      </c>
      <c r="H259" t="str">
        <f t="shared" si="39"/>
        <v>Moderate Use</v>
      </c>
      <c r="I259" t="s">
        <v>212</v>
      </c>
      <c r="J259" t="s">
        <v>18</v>
      </c>
      <c r="K259">
        <v>6.7</v>
      </c>
      <c r="L259" t="str">
        <f t="shared" si="40"/>
        <v>Severly Deficient Sleep</v>
      </c>
      <c r="M259">
        <v>6</v>
      </c>
      <c r="N259" t="str">
        <f t="shared" si="41"/>
        <v>Moderate</v>
      </c>
      <c r="O259" t="s">
        <v>20</v>
      </c>
      <c r="Q259">
        <v>6</v>
      </c>
    </row>
    <row r="260" spans="1:17" hidden="1" x14ac:dyDescent="0.3">
      <c r="A260">
        <v>260</v>
      </c>
      <c r="B260">
        <v>22</v>
      </c>
      <c r="C260" t="str">
        <f t="shared" si="38"/>
        <v>Young Adult</v>
      </c>
      <c r="D260" t="s">
        <v>21</v>
      </c>
      <c r="E260" t="s">
        <v>22</v>
      </c>
      <c r="F260" t="s">
        <v>63</v>
      </c>
      <c r="G260">
        <v>4.4000000000000004</v>
      </c>
      <c r="H260" t="str">
        <f t="shared" si="39"/>
        <v>Moderate Use</v>
      </c>
      <c r="I260" t="s">
        <v>213</v>
      </c>
      <c r="J260" t="s">
        <v>26</v>
      </c>
      <c r="K260">
        <v>7.6</v>
      </c>
      <c r="L260" t="str">
        <f t="shared" si="40"/>
        <v>Sufficient Sleep</v>
      </c>
      <c r="M260">
        <v>7</v>
      </c>
      <c r="N260" t="str">
        <f t="shared" si="41"/>
        <v>Sever</v>
      </c>
      <c r="O260" t="s">
        <v>28</v>
      </c>
      <c r="Q260">
        <v>5</v>
      </c>
    </row>
    <row r="261" spans="1:17" x14ac:dyDescent="0.3">
      <c r="A261">
        <v>261</v>
      </c>
      <c r="B261">
        <v>19</v>
      </c>
      <c r="C261" t="str">
        <f t="shared" si="38"/>
        <v>Teenager</v>
      </c>
      <c r="D261" t="s">
        <v>13</v>
      </c>
      <c r="E261" t="s">
        <v>14</v>
      </c>
      <c r="F261" t="s">
        <v>29</v>
      </c>
      <c r="G261">
        <v>6.6</v>
      </c>
      <c r="H261" t="str">
        <f t="shared" si="39"/>
        <v>Heavy Use</v>
      </c>
      <c r="I261" t="s">
        <v>31</v>
      </c>
      <c r="J261" t="s">
        <v>18</v>
      </c>
      <c r="K261">
        <v>5.6</v>
      </c>
      <c r="L261" t="str">
        <f t="shared" si="40"/>
        <v>Severly Deficient Sleep</v>
      </c>
      <c r="M261">
        <v>4</v>
      </c>
      <c r="N261" t="str">
        <f t="shared" si="41"/>
        <v>Mild</v>
      </c>
      <c r="O261" t="s">
        <v>20</v>
      </c>
      <c r="P261">
        <v>9</v>
      </c>
      <c r="Q261" t="str">
        <f>IF(P261&gt;=7,"High",IF(P261&gt;=6,"Medium","Low"))</f>
        <v>High</v>
      </c>
    </row>
    <row r="262" spans="1:17" hidden="1" x14ac:dyDescent="0.3">
      <c r="A262">
        <v>262</v>
      </c>
      <c r="B262">
        <v>21</v>
      </c>
      <c r="C262" t="str">
        <f t="shared" si="38"/>
        <v>Young Adult</v>
      </c>
      <c r="D262" t="s">
        <v>21</v>
      </c>
      <c r="E262" t="s">
        <v>22</v>
      </c>
      <c r="F262" t="s">
        <v>35</v>
      </c>
      <c r="G262">
        <v>5.3</v>
      </c>
      <c r="H262" t="str">
        <f t="shared" si="39"/>
        <v>Moderate Use</v>
      </c>
      <c r="I262" t="s">
        <v>17</v>
      </c>
      <c r="J262" t="s">
        <v>18</v>
      </c>
      <c r="K262">
        <v>6.3</v>
      </c>
      <c r="L262" t="str">
        <f t="shared" si="40"/>
        <v>Severly Deficient Sleep</v>
      </c>
      <c r="M262">
        <v>6</v>
      </c>
      <c r="N262" t="str">
        <f t="shared" si="41"/>
        <v>Moderate</v>
      </c>
      <c r="O262" t="s">
        <v>28</v>
      </c>
      <c r="P262">
        <v>7</v>
      </c>
      <c r="Q262" t="str">
        <f t="shared" ref="Q261:Q264" si="42">IF(P262&gt;=7,"High",IF(P262&gt;=5,"Medium","Low"))</f>
        <v>High</v>
      </c>
    </row>
    <row r="263" spans="1:17" hidden="1" x14ac:dyDescent="0.3">
      <c r="A263">
        <v>263</v>
      </c>
      <c r="B263">
        <v>20</v>
      </c>
      <c r="C263" t="str">
        <f t="shared" si="38"/>
        <v>Young Adult</v>
      </c>
      <c r="D263" t="s">
        <v>13</v>
      </c>
      <c r="E263" t="s">
        <v>14</v>
      </c>
      <c r="F263" t="s">
        <v>42</v>
      </c>
      <c r="G263">
        <v>4.3</v>
      </c>
      <c r="H263" t="str">
        <f t="shared" si="39"/>
        <v>Moderate Use</v>
      </c>
      <c r="I263" t="s">
        <v>41</v>
      </c>
      <c r="J263" t="s">
        <v>26</v>
      </c>
      <c r="K263">
        <v>7.5</v>
      </c>
      <c r="L263" t="str">
        <f t="shared" si="40"/>
        <v>Sufficient Sleep</v>
      </c>
      <c r="M263">
        <v>7</v>
      </c>
      <c r="N263" t="str">
        <f t="shared" si="41"/>
        <v>Sever</v>
      </c>
      <c r="O263" t="s">
        <v>20</v>
      </c>
      <c r="P263">
        <v>5</v>
      </c>
      <c r="Q263" t="str">
        <f t="shared" si="42"/>
        <v>Medium</v>
      </c>
    </row>
    <row r="264" spans="1:17" hidden="1" x14ac:dyDescent="0.3">
      <c r="A264">
        <v>264</v>
      </c>
      <c r="B264">
        <v>22</v>
      </c>
      <c r="C264" t="str">
        <f t="shared" si="38"/>
        <v>Young Adult</v>
      </c>
      <c r="D264" t="s">
        <v>21</v>
      </c>
      <c r="E264" t="s">
        <v>22</v>
      </c>
      <c r="F264" t="s">
        <v>44</v>
      </c>
      <c r="G264">
        <v>3.8</v>
      </c>
      <c r="H264" t="str">
        <f t="shared" si="39"/>
        <v>Low Use</v>
      </c>
      <c r="I264" t="s">
        <v>17</v>
      </c>
      <c r="J264" t="s">
        <v>26</v>
      </c>
      <c r="K264">
        <v>7.7</v>
      </c>
      <c r="L264" t="str">
        <f t="shared" si="40"/>
        <v>Sufficient Sleep</v>
      </c>
      <c r="M264">
        <v>8</v>
      </c>
      <c r="N264" t="str">
        <f t="shared" si="41"/>
        <v>Sever</v>
      </c>
      <c r="O264" t="s">
        <v>28</v>
      </c>
      <c r="P264">
        <v>4</v>
      </c>
      <c r="Q264" t="str">
        <f t="shared" si="42"/>
        <v>Low</v>
      </c>
    </row>
    <row r="265" spans="1:17" hidden="1" x14ac:dyDescent="0.3">
      <c r="A265">
        <v>265</v>
      </c>
      <c r="B265">
        <v>19</v>
      </c>
      <c r="C265" t="str">
        <f t="shared" si="38"/>
        <v>Teenager</v>
      </c>
      <c r="D265" t="s">
        <v>13</v>
      </c>
      <c r="E265" t="s">
        <v>14</v>
      </c>
      <c r="F265" t="s">
        <v>51</v>
      </c>
      <c r="G265">
        <v>3.3</v>
      </c>
      <c r="H265" t="str">
        <f t="shared" si="39"/>
        <v>Low Use</v>
      </c>
      <c r="I265" t="s">
        <v>211</v>
      </c>
      <c r="J265" t="s">
        <v>26</v>
      </c>
      <c r="K265">
        <v>8.3000000000000007</v>
      </c>
      <c r="L265" t="str">
        <f t="shared" si="40"/>
        <v>Sufficient Sleep</v>
      </c>
      <c r="M265">
        <v>8</v>
      </c>
      <c r="N265" t="str">
        <f t="shared" si="41"/>
        <v>Sever</v>
      </c>
      <c r="O265" t="s">
        <v>28</v>
      </c>
      <c r="Q265">
        <v>3</v>
      </c>
    </row>
    <row r="266" spans="1:17" hidden="1" x14ac:dyDescent="0.3">
      <c r="A266">
        <v>266</v>
      </c>
      <c r="B266">
        <v>21</v>
      </c>
      <c r="C266" t="str">
        <f t="shared" si="38"/>
        <v>Young Adult</v>
      </c>
      <c r="D266" t="s">
        <v>21</v>
      </c>
      <c r="E266" t="s">
        <v>22</v>
      </c>
      <c r="F266" t="s">
        <v>60</v>
      </c>
      <c r="G266">
        <v>5.2</v>
      </c>
      <c r="H266" t="str">
        <f t="shared" si="39"/>
        <v>Moderate Use</v>
      </c>
      <c r="I266" t="s">
        <v>31</v>
      </c>
      <c r="J266" t="s">
        <v>18</v>
      </c>
      <c r="K266">
        <v>6.9</v>
      </c>
      <c r="L266" t="str">
        <f t="shared" si="40"/>
        <v>Severly Deficient Sleep</v>
      </c>
      <c r="M266">
        <v>5</v>
      </c>
      <c r="N266" t="str">
        <f t="shared" si="41"/>
        <v>Moderate</v>
      </c>
      <c r="O266" t="s">
        <v>20</v>
      </c>
      <c r="P266">
        <v>8</v>
      </c>
      <c r="Q266" t="str">
        <f>IF(P266&gt;=7,"High",IF(P266&gt;=5,"Medium","Low"))</f>
        <v>High</v>
      </c>
    </row>
    <row r="267" spans="1:17" hidden="1" x14ac:dyDescent="0.3">
      <c r="A267">
        <v>267</v>
      </c>
      <c r="B267">
        <v>20</v>
      </c>
      <c r="C267" t="str">
        <f t="shared" si="38"/>
        <v>Young Adult</v>
      </c>
      <c r="D267" t="s">
        <v>13</v>
      </c>
      <c r="E267" t="s">
        <v>14</v>
      </c>
      <c r="F267" t="s">
        <v>53</v>
      </c>
      <c r="G267">
        <v>4.8</v>
      </c>
      <c r="H267" t="str">
        <f t="shared" si="39"/>
        <v>Moderate Use</v>
      </c>
      <c r="I267" t="s">
        <v>212</v>
      </c>
      <c r="J267" t="s">
        <v>18</v>
      </c>
      <c r="K267">
        <v>7</v>
      </c>
      <c r="L267" t="str">
        <f t="shared" si="40"/>
        <v>Sufficient Sleep</v>
      </c>
      <c r="M267">
        <v>6</v>
      </c>
      <c r="N267" t="str">
        <f t="shared" si="41"/>
        <v>Moderate</v>
      </c>
      <c r="O267" t="s">
        <v>28</v>
      </c>
      <c r="Q267">
        <v>6</v>
      </c>
    </row>
    <row r="268" spans="1:17" hidden="1" x14ac:dyDescent="0.3">
      <c r="A268">
        <v>268</v>
      </c>
      <c r="B268">
        <v>22</v>
      </c>
      <c r="C268" t="str">
        <f t="shared" si="38"/>
        <v>Young Adult</v>
      </c>
      <c r="D268" t="s">
        <v>21</v>
      </c>
      <c r="E268" t="s">
        <v>22</v>
      </c>
      <c r="F268" t="s">
        <v>63</v>
      </c>
      <c r="G268">
        <v>4.3</v>
      </c>
      <c r="H268" t="str">
        <f t="shared" si="39"/>
        <v>Moderate Use</v>
      </c>
      <c r="I268" t="s">
        <v>213</v>
      </c>
      <c r="J268" t="s">
        <v>26</v>
      </c>
      <c r="K268">
        <v>7.7</v>
      </c>
      <c r="L268" t="str">
        <f t="shared" si="40"/>
        <v>Sufficient Sleep</v>
      </c>
      <c r="M268">
        <v>7</v>
      </c>
      <c r="N268" t="str">
        <f t="shared" si="41"/>
        <v>Sever</v>
      </c>
      <c r="O268" t="s">
        <v>20</v>
      </c>
      <c r="Q268">
        <v>5</v>
      </c>
    </row>
    <row r="269" spans="1:17" x14ac:dyDescent="0.3">
      <c r="A269">
        <v>269</v>
      </c>
      <c r="B269">
        <v>19</v>
      </c>
      <c r="C269" t="str">
        <f t="shared" si="38"/>
        <v>Teenager</v>
      </c>
      <c r="D269" t="s">
        <v>13</v>
      </c>
      <c r="E269" t="s">
        <v>14</v>
      </c>
      <c r="F269" t="s">
        <v>29</v>
      </c>
      <c r="G269">
        <v>6.4</v>
      </c>
      <c r="H269" t="str">
        <f t="shared" si="39"/>
        <v>Heavy Use</v>
      </c>
      <c r="I269" t="s">
        <v>17</v>
      </c>
      <c r="J269" t="s">
        <v>18</v>
      </c>
      <c r="K269">
        <v>5.7</v>
      </c>
      <c r="L269" t="str">
        <f t="shared" si="40"/>
        <v>Severly Deficient Sleep</v>
      </c>
      <c r="M269">
        <v>4</v>
      </c>
      <c r="N269" t="str">
        <f t="shared" si="41"/>
        <v>Mild</v>
      </c>
      <c r="O269" t="s">
        <v>28</v>
      </c>
      <c r="P269">
        <v>9</v>
      </c>
      <c r="Q269" t="str">
        <f>IF(P269&gt;=7,"High",IF(P269&gt;=6,"Medium","Low"))</f>
        <v>High</v>
      </c>
    </row>
    <row r="270" spans="1:17" hidden="1" x14ac:dyDescent="0.3">
      <c r="A270">
        <v>270</v>
      </c>
      <c r="B270">
        <v>21</v>
      </c>
      <c r="C270" t="str">
        <f t="shared" si="38"/>
        <v>Young Adult</v>
      </c>
      <c r="D270" t="s">
        <v>21</v>
      </c>
      <c r="E270" t="s">
        <v>22</v>
      </c>
      <c r="F270" t="s">
        <v>35</v>
      </c>
      <c r="G270">
        <v>5.2</v>
      </c>
      <c r="H270" t="str">
        <f t="shared" si="39"/>
        <v>Moderate Use</v>
      </c>
      <c r="I270" t="s">
        <v>41</v>
      </c>
      <c r="J270" t="s">
        <v>18</v>
      </c>
      <c r="K270">
        <v>6.4</v>
      </c>
      <c r="L270" t="str">
        <f t="shared" si="40"/>
        <v>Severly Deficient Sleep</v>
      </c>
      <c r="M270">
        <v>6</v>
      </c>
      <c r="N270" t="str">
        <f t="shared" si="41"/>
        <v>Moderate</v>
      </c>
      <c r="O270" t="s">
        <v>20</v>
      </c>
      <c r="P270">
        <v>7</v>
      </c>
      <c r="Q270" t="str">
        <f t="shared" ref="Q269:Q272" si="43">IF(P270&gt;=7,"High",IF(P270&gt;=5,"Medium","Low"))</f>
        <v>High</v>
      </c>
    </row>
    <row r="271" spans="1:17" hidden="1" x14ac:dyDescent="0.3">
      <c r="A271">
        <v>271</v>
      </c>
      <c r="B271">
        <v>20</v>
      </c>
      <c r="C271" t="str">
        <f t="shared" si="38"/>
        <v>Young Adult</v>
      </c>
      <c r="D271" t="s">
        <v>13</v>
      </c>
      <c r="E271" t="s">
        <v>14</v>
      </c>
      <c r="F271" t="s">
        <v>42</v>
      </c>
      <c r="G271">
        <v>4.5</v>
      </c>
      <c r="H271" t="str">
        <f t="shared" si="39"/>
        <v>Moderate Use</v>
      </c>
      <c r="I271" t="s">
        <v>17</v>
      </c>
      <c r="J271" t="s">
        <v>26</v>
      </c>
      <c r="K271">
        <v>7.3</v>
      </c>
      <c r="L271" t="str">
        <f t="shared" si="40"/>
        <v>Sufficient Sleep</v>
      </c>
      <c r="M271">
        <v>7</v>
      </c>
      <c r="N271" t="str">
        <f t="shared" si="41"/>
        <v>Sever</v>
      </c>
      <c r="O271" t="s">
        <v>28</v>
      </c>
      <c r="P271">
        <v>5</v>
      </c>
      <c r="Q271" t="str">
        <f t="shared" si="43"/>
        <v>Medium</v>
      </c>
    </row>
    <row r="272" spans="1:17" hidden="1" x14ac:dyDescent="0.3">
      <c r="A272">
        <v>272</v>
      </c>
      <c r="B272">
        <v>22</v>
      </c>
      <c r="C272" t="str">
        <f t="shared" si="38"/>
        <v>Young Adult</v>
      </c>
      <c r="D272" t="s">
        <v>21</v>
      </c>
      <c r="E272" t="s">
        <v>22</v>
      </c>
      <c r="F272" t="s">
        <v>44</v>
      </c>
      <c r="G272">
        <v>3.7</v>
      </c>
      <c r="H272" t="str">
        <f t="shared" si="39"/>
        <v>Low Use</v>
      </c>
      <c r="I272" t="s">
        <v>41</v>
      </c>
      <c r="J272" t="s">
        <v>26</v>
      </c>
      <c r="K272">
        <v>7.8</v>
      </c>
      <c r="L272" t="str">
        <f t="shared" si="40"/>
        <v>Sufficient Sleep</v>
      </c>
      <c r="M272">
        <v>8</v>
      </c>
      <c r="N272" t="str">
        <f t="shared" si="41"/>
        <v>Sever</v>
      </c>
      <c r="O272" t="s">
        <v>20</v>
      </c>
      <c r="P272">
        <v>4</v>
      </c>
      <c r="Q272" t="str">
        <f t="shared" si="43"/>
        <v>Low</v>
      </c>
    </row>
    <row r="273" spans="1:17" hidden="1" x14ac:dyDescent="0.3">
      <c r="A273">
        <v>273</v>
      </c>
      <c r="B273">
        <v>19</v>
      </c>
      <c r="C273" t="str">
        <f t="shared" si="38"/>
        <v>Teenager</v>
      </c>
      <c r="D273" t="s">
        <v>13</v>
      </c>
      <c r="E273" t="s">
        <v>14</v>
      </c>
      <c r="F273" t="s">
        <v>51</v>
      </c>
      <c r="G273">
        <v>3.2</v>
      </c>
      <c r="H273" t="str">
        <f t="shared" si="39"/>
        <v>Low Use</v>
      </c>
      <c r="I273" t="s">
        <v>211</v>
      </c>
      <c r="J273" t="s">
        <v>26</v>
      </c>
      <c r="K273">
        <v>8.4</v>
      </c>
      <c r="L273" t="str">
        <f t="shared" si="40"/>
        <v>Sufficient Sleep</v>
      </c>
      <c r="M273">
        <v>8</v>
      </c>
      <c r="N273" t="str">
        <f t="shared" si="41"/>
        <v>Sever</v>
      </c>
      <c r="O273" t="s">
        <v>28</v>
      </c>
      <c r="Q273">
        <v>3</v>
      </c>
    </row>
    <row r="274" spans="1:17" hidden="1" x14ac:dyDescent="0.3">
      <c r="A274">
        <v>274</v>
      </c>
      <c r="B274">
        <v>21</v>
      </c>
      <c r="C274" t="str">
        <f t="shared" si="38"/>
        <v>Young Adult</v>
      </c>
      <c r="D274" t="s">
        <v>21</v>
      </c>
      <c r="E274" t="s">
        <v>22</v>
      </c>
      <c r="F274" t="s">
        <v>60</v>
      </c>
      <c r="G274">
        <v>5.4</v>
      </c>
      <c r="H274" t="str">
        <f t="shared" si="39"/>
        <v>Moderate Use</v>
      </c>
      <c r="I274" t="s">
        <v>17</v>
      </c>
      <c r="J274" t="s">
        <v>18</v>
      </c>
      <c r="K274">
        <v>6.7</v>
      </c>
      <c r="L274" t="str">
        <f t="shared" si="40"/>
        <v>Severly Deficient Sleep</v>
      </c>
      <c r="M274">
        <v>5</v>
      </c>
      <c r="N274" t="str">
        <f t="shared" si="41"/>
        <v>Moderate</v>
      </c>
      <c r="O274" t="s">
        <v>28</v>
      </c>
      <c r="P274">
        <v>7</v>
      </c>
      <c r="Q274" t="str">
        <f>IF(P274&gt;=7,"High",IF(P274&gt;=5,"Medium","Low"))</f>
        <v>High</v>
      </c>
    </row>
    <row r="275" spans="1:17" hidden="1" x14ac:dyDescent="0.3">
      <c r="A275">
        <v>275</v>
      </c>
      <c r="B275">
        <v>20</v>
      </c>
      <c r="C275" t="str">
        <f t="shared" si="38"/>
        <v>Young Adult</v>
      </c>
      <c r="D275" t="s">
        <v>13</v>
      </c>
      <c r="E275" t="s">
        <v>14</v>
      </c>
      <c r="F275" t="s">
        <v>53</v>
      </c>
      <c r="G275">
        <v>4.7</v>
      </c>
      <c r="H275" t="str">
        <f t="shared" si="39"/>
        <v>Moderate Use</v>
      </c>
      <c r="I275" t="s">
        <v>212</v>
      </c>
      <c r="J275" t="s">
        <v>18</v>
      </c>
      <c r="K275">
        <v>7.1</v>
      </c>
      <c r="L275" t="str">
        <f t="shared" si="40"/>
        <v>Sufficient Sleep</v>
      </c>
      <c r="M275">
        <v>6</v>
      </c>
      <c r="N275" t="str">
        <f t="shared" si="41"/>
        <v>Moderate</v>
      </c>
      <c r="O275" t="s">
        <v>20</v>
      </c>
      <c r="Q275">
        <v>6</v>
      </c>
    </row>
    <row r="276" spans="1:17" hidden="1" x14ac:dyDescent="0.3">
      <c r="A276">
        <v>276</v>
      </c>
      <c r="B276">
        <v>22</v>
      </c>
      <c r="C276" t="str">
        <f t="shared" si="38"/>
        <v>Young Adult</v>
      </c>
      <c r="D276" t="s">
        <v>21</v>
      </c>
      <c r="E276" t="s">
        <v>22</v>
      </c>
      <c r="F276" t="s">
        <v>63</v>
      </c>
      <c r="G276">
        <v>4.2</v>
      </c>
      <c r="H276" t="str">
        <f t="shared" si="39"/>
        <v>Moderate Use</v>
      </c>
      <c r="I276" t="s">
        <v>213</v>
      </c>
      <c r="J276" t="s">
        <v>26</v>
      </c>
      <c r="K276">
        <v>7.8</v>
      </c>
      <c r="L276" t="str">
        <f t="shared" si="40"/>
        <v>Sufficient Sleep</v>
      </c>
      <c r="M276">
        <v>7</v>
      </c>
      <c r="N276" t="str">
        <f t="shared" si="41"/>
        <v>Sever</v>
      </c>
      <c r="O276" t="s">
        <v>28</v>
      </c>
      <c r="Q276">
        <v>5</v>
      </c>
    </row>
    <row r="277" spans="1:17" x14ac:dyDescent="0.3">
      <c r="A277">
        <v>277</v>
      </c>
      <c r="B277">
        <v>19</v>
      </c>
      <c r="C277" t="str">
        <f t="shared" si="38"/>
        <v>Teenager</v>
      </c>
      <c r="D277" t="s">
        <v>13</v>
      </c>
      <c r="E277" t="s">
        <v>14</v>
      </c>
      <c r="F277" t="s">
        <v>29</v>
      </c>
      <c r="G277">
        <v>6.6</v>
      </c>
      <c r="H277" t="str">
        <f t="shared" si="39"/>
        <v>Heavy Use</v>
      </c>
      <c r="I277" t="s">
        <v>31</v>
      </c>
      <c r="J277" t="s">
        <v>18</v>
      </c>
      <c r="K277">
        <v>5.5</v>
      </c>
      <c r="L277" t="str">
        <f t="shared" si="40"/>
        <v>Severly Deficient Sleep</v>
      </c>
      <c r="M277">
        <v>4</v>
      </c>
      <c r="N277" t="str">
        <f t="shared" si="41"/>
        <v>Mild</v>
      </c>
      <c r="O277" t="s">
        <v>20</v>
      </c>
      <c r="P277">
        <v>9</v>
      </c>
      <c r="Q277" t="str">
        <f>IF(P277&gt;=7,"High",IF(P277&gt;=6,"Medium","Low"))</f>
        <v>High</v>
      </c>
    </row>
    <row r="278" spans="1:17" hidden="1" x14ac:dyDescent="0.3">
      <c r="A278">
        <v>278</v>
      </c>
      <c r="B278">
        <v>21</v>
      </c>
      <c r="C278" t="str">
        <f t="shared" si="38"/>
        <v>Young Adult</v>
      </c>
      <c r="D278" t="s">
        <v>21</v>
      </c>
      <c r="E278" t="s">
        <v>22</v>
      </c>
      <c r="F278" t="s">
        <v>35</v>
      </c>
      <c r="G278">
        <v>5.0999999999999996</v>
      </c>
      <c r="H278" t="str">
        <f t="shared" si="39"/>
        <v>Moderate Use</v>
      </c>
      <c r="I278" t="s">
        <v>17</v>
      </c>
      <c r="J278" t="s">
        <v>18</v>
      </c>
      <c r="K278">
        <v>6.5</v>
      </c>
      <c r="L278" t="str">
        <f t="shared" si="40"/>
        <v>Severly Deficient Sleep</v>
      </c>
      <c r="M278">
        <v>6</v>
      </c>
      <c r="N278" t="str">
        <f t="shared" si="41"/>
        <v>Moderate</v>
      </c>
      <c r="O278" t="s">
        <v>28</v>
      </c>
      <c r="P278">
        <v>7</v>
      </c>
      <c r="Q278" t="str">
        <f t="shared" ref="Q277:Q280" si="44">IF(P278&gt;=7,"High",IF(P278&gt;=5,"Medium","Low"))</f>
        <v>High</v>
      </c>
    </row>
    <row r="279" spans="1:17" hidden="1" x14ac:dyDescent="0.3">
      <c r="A279">
        <v>279</v>
      </c>
      <c r="B279">
        <v>20</v>
      </c>
      <c r="C279" t="str">
        <f t="shared" si="38"/>
        <v>Young Adult</v>
      </c>
      <c r="D279" t="s">
        <v>13</v>
      </c>
      <c r="E279" t="s">
        <v>14</v>
      </c>
      <c r="F279" t="s">
        <v>42</v>
      </c>
      <c r="G279">
        <v>4.4000000000000004</v>
      </c>
      <c r="H279" t="str">
        <f t="shared" si="39"/>
        <v>Moderate Use</v>
      </c>
      <c r="I279" t="s">
        <v>41</v>
      </c>
      <c r="J279" t="s">
        <v>26</v>
      </c>
      <c r="K279">
        <v>7.4</v>
      </c>
      <c r="L279" t="str">
        <f t="shared" si="40"/>
        <v>Sufficient Sleep</v>
      </c>
      <c r="M279">
        <v>7</v>
      </c>
      <c r="N279" t="str">
        <f t="shared" si="41"/>
        <v>Sever</v>
      </c>
      <c r="O279" t="s">
        <v>20</v>
      </c>
      <c r="P279">
        <v>5</v>
      </c>
      <c r="Q279" t="str">
        <f t="shared" si="44"/>
        <v>Medium</v>
      </c>
    </row>
    <row r="280" spans="1:17" hidden="1" x14ac:dyDescent="0.3">
      <c r="A280">
        <v>280</v>
      </c>
      <c r="B280">
        <v>22</v>
      </c>
      <c r="C280" t="str">
        <f t="shared" si="38"/>
        <v>Young Adult</v>
      </c>
      <c r="D280" t="s">
        <v>21</v>
      </c>
      <c r="E280" t="s">
        <v>22</v>
      </c>
      <c r="F280" t="s">
        <v>44</v>
      </c>
      <c r="G280">
        <v>3.6</v>
      </c>
      <c r="H280" t="str">
        <f t="shared" si="39"/>
        <v>Low Use</v>
      </c>
      <c r="I280" t="s">
        <v>17</v>
      </c>
      <c r="J280" t="s">
        <v>26</v>
      </c>
      <c r="K280">
        <v>7.9</v>
      </c>
      <c r="L280" t="str">
        <f t="shared" si="40"/>
        <v>Sufficient Sleep</v>
      </c>
      <c r="M280">
        <v>8</v>
      </c>
      <c r="N280" t="str">
        <f t="shared" si="41"/>
        <v>Sever</v>
      </c>
      <c r="O280" t="s">
        <v>28</v>
      </c>
      <c r="P280">
        <v>4</v>
      </c>
      <c r="Q280" t="str">
        <f t="shared" si="44"/>
        <v>Low</v>
      </c>
    </row>
    <row r="281" spans="1:17" hidden="1" x14ac:dyDescent="0.3">
      <c r="A281">
        <v>281</v>
      </c>
      <c r="B281">
        <v>19</v>
      </c>
      <c r="C281" t="str">
        <f t="shared" si="38"/>
        <v>Teenager</v>
      </c>
      <c r="D281" t="s">
        <v>13</v>
      </c>
      <c r="E281" t="s">
        <v>14</v>
      </c>
      <c r="F281" t="s">
        <v>51</v>
      </c>
      <c r="G281">
        <v>3.1</v>
      </c>
      <c r="H281" t="str">
        <f t="shared" si="39"/>
        <v>Low Use</v>
      </c>
      <c r="I281" t="s">
        <v>211</v>
      </c>
      <c r="J281" t="s">
        <v>26</v>
      </c>
      <c r="K281">
        <v>8.5</v>
      </c>
      <c r="L281" t="str">
        <f t="shared" si="40"/>
        <v>Sufficient Sleep</v>
      </c>
      <c r="M281">
        <v>8</v>
      </c>
      <c r="N281" t="str">
        <f t="shared" si="41"/>
        <v>Sever</v>
      </c>
      <c r="O281" t="s">
        <v>28</v>
      </c>
      <c r="Q281">
        <v>3</v>
      </c>
    </row>
    <row r="282" spans="1:17" hidden="1" x14ac:dyDescent="0.3">
      <c r="A282">
        <v>282</v>
      </c>
      <c r="B282">
        <v>21</v>
      </c>
      <c r="C282" t="str">
        <f t="shared" si="38"/>
        <v>Young Adult</v>
      </c>
      <c r="D282" t="s">
        <v>21</v>
      </c>
      <c r="E282" t="s">
        <v>22</v>
      </c>
      <c r="F282" t="s">
        <v>60</v>
      </c>
      <c r="G282">
        <v>5.3</v>
      </c>
      <c r="H282" t="str">
        <f t="shared" si="39"/>
        <v>Moderate Use</v>
      </c>
      <c r="I282" t="s">
        <v>31</v>
      </c>
      <c r="J282" t="s">
        <v>18</v>
      </c>
      <c r="K282">
        <v>6.8</v>
      </c>
      <c r="L282" t="str">
        <f t="shared" si="40"/>
        <v>Severly Deficient Sleep</v>
      </c>
      <c r="M282">
        <v>5</v>
      </c>
      <c r="N282" t="str">
        <f t="shared" si="41"/>
        <v>Moderate</v>
      </c>
      <c r="O282" t="s">
        <v>20</v>
      </c>
      <c r="P282">
        <v>8</v>
      </c>
      <c r="Q282" t="str">
        <f>IF(P282&gt;=7,"High",IF(P282&gt;=5,"Medium","Low"))</f>
        <v>High</v>
      </c>
    </row>
    <row r="283" spans="1:17" hidden="1" x14ac:dyDescent="0.3">
      <c r="A283">
        <v>283</v>
      </c>
      <c r="B283">
        <v>20</v>
      </c>
      <c r="C283" t="str">
        <f t="shared" si="38"/>
        <v>Young Adult</v>
      </c>
      <c r="D283" t="s">
        <v>13</v>
      </c>
      <c r="E283" t="s">
        <v>14</v>
      </c>
      <c r="F283" t="s">
        <v>53</v>
      </c>
      <c r="G283">
        <v>4.5999999999999996</v>
      </c>
      <c r="H283" t="str">
        <f t="shared" si="39"/>
        <v>Moderate Use</v>
      </c>
      <c r="I283" t="s">
        <v>212</v>
      </c>
      <c r="J283" t="s">
        <v>18</v>
      </c>
      <c r="K283">
        <v>7.2</v>
      </c>
      <c r="L283" t="str">
        <f t="shared" si="40"/>
        <v>Sufficient Sleep</v>
      </c>
      <c r="M283">
        <v>6</v>
      </c>
      <c r="N283" t="str">
        <f t="shared" si="41"/>
        <v>Moderate</v>
      </c>
      <c r="O283" t="s">
        <v>28</v>
      </c>
      <c r="Q283">
        <v>6</v>
      </c>
    </row>
    <row r="284" spans="1:17" hidden="1" x14ac:dyDescent="0.3">
      <c r="A284">
        <v>284</v>
      </c>
      <c r="B284">
        <v>22</v>
      </c>
      <c r="C284" t="str">
        <f t="shared" si="38"/>
        <v>Young Adult</v>
      </c>
      <c r="D284" t="s">
        <v>21</v>
      </c>
      <c r="E284" t="s">
        <v>22</v>
      </c>
      <c r="F284" t="s">
        <v>63</v>
      </c>
      <c r="G284">
        <v>4.0999999999999996</v>
      </c>
      <c r="H284" t="str">
        <f t="shared" si="39"/>
        <v>Moderate Use</v>
      </c>
      <c r="I284" t="s">
        <v>213</v>
      </c>
      <c r="J284" t="s">
        <v>26</v>
      </c>
      <c r="K284">
        <v>7.9</v>
      </c>
      <c r="L284" t="str">
        <f t="shared" si="40"/>
        <v>Sufficient Sleep</v>
      </c>
      <c r="M284">
        <v>7</v>
      </c>
      <c r="N284" t="str">
        <f t="shared" si="41"/>
        <v>Sever</v>
      </c>
      <c r="O284" t="s">
        <v>20</v>
      </c>
      <c r="Q284">
        <v>5</v>
      </c>
    </row>
    <row r="285" spans="1:17" x14ac:dyDescent="0.3">
      <c r="A285">
        <v>285</v>
      </c>
      <c r="B285">
        <v>19</v>
      </c>
      <c r="C285" t="str">
        <f t="shared" si="38"/>
        <v>Teenager</v>
      </c>
      <c r="D285" t="s">
        <v>13</v>
      </c>
      <c r="E285" t="s">
        <v>14</v>
      </c>
      <c r="F285" t="s">
        <v>29</v>
      </c>
      <c r="G285">
        <v>6.7</v>
      </c>
      <c r="H285" t="str">
        <f t="shared" si="39"/>
        <v>Heavy Use</v>
      </c>
      <c r="I285" t="s">
        <v>17</v>
      </c>
      <c r="J285" t="s">
        <v>18</v>
      </c>
      <c r="K285">
        <v>5.4</v>
      </c>
      <c r="L285" t="str">
        <f t="shared" si="40"/>
        <v>Severly Deficient Sleep</v>
      </c>
      <c r="M285">
        <v>4</v>
      </c>
      <c r="N285" t="str">
        <f t="shared" si="41"/>
        <v>Mild</v>
      </c>
      <c r="O285" t="s">
        <v>28</v>
      </c>
      <c r="P285">
        <v>9</v>
      </c>
      <c r="Q285" t="str">
        <f>IF(P285&gt;=7,"High",IF(P285&gt;=6,"Medium","Low"))</f>
        <v>High</v>
      </c>
    </row>
    <row r="286" spans="1:17" hidden="1" x14ac:dyDescent="0.3">
      <c r="A286">
        <v>286</v>
      </c>
      <c r="B286">
        <v>21</v>
      </c>
      <c r="C286" t="str">
        <f t="shared" si="38"/>
        <v>Young Adult</v>
      </c>
      <c r="D286" t="s">
        <v>21</v>
      </c>
      <c r="E286" t="s">
        <v>22</v>
      </c>
      <c r="F286" t="s">
        <v>35</v>
      </c>
      <c r="G286">
        <v>5</v>
      </c>
      <c r="H286" t="str">
        <f t="shared" si="39"/>
        <v>Moderate Use</v>
      </c>
      <c r="I286" t="s">
        <v>41</v>
      </c>
      <c r="J286" t="s">
        <v>18</v>
      </c>
      <c r="K286">
        <v>6.6</v>
      </c>
      <c r="L286" t="str">
        <f t="shared" si="40"/>
        <v>Severly Deficient Sleep</v>
      </c>
      <c r="M286">
        <v>6</v>
      </c>
      <c r="N286" t="str">
        <f t="shared" si="41"/>
        <v>Moderate</v>
      </c>
      <c r="O286" t="s">
        <v>20</v>
      </c>
      <c r="P286">
        <v>7</v>
      </c>
      <c r="Q286" t="str">
        <f t="shared" ref="Q285:Q288" si="45">IF(P286&gt;=7,"High",IF(P286&gt;=5,"Medium","Low"))</f>
        <v>High</v>
      </c>
    </row>
    <row r="287" spans="1:17" hidden="1" x14ac:dyDescent="0.3">
      <c r="A287">
        <v>287</v>
      </c>
      <c r="B287">
        <v>20</v>
      </c>
      <c r="C287" t="str">
        <f t="shared" si="38"/>
        <v>Young Adult</v>
      </c>
      <c r="D287" t="s">
        <v>13</v>
      </c>
      <c r="E287" t="s">
        <v>14</v>
      </c>
      <c r="F287" t="s">
        <v>42</v>
      </c>
      <c r="G287">
        <v>4.3</v>
      </c>
      <c r="H287" t="str">
        <f t="shared" si="39"/>
        <v>Moderate Use</v>
      </c>
      <c r="I287" t="s">
        <v>17</v>
      </c>
      <c r="J287" t="s">
        <v>26</v>
      </c>
      <c r="K287">
        <v>7.5</v>
      </c>
      <c r="L287" t="str">
        <f t="shared" si="40"/>
        <v>Sufficient Sleep</v>
      </c>
      <c r="M287">
        <v>7</v>
      </c>
      <c r="N287" t="str">
        <f t="shared" si="41"/>
        <v>Sever</v>
      </c>
      <c r="O287" t="s">
        <v>28</v>
      </c>
      <c r="P287">
        <v>5</v>
      </c>
      <c r="Q287" t="str">
        <f t="shared" si="45"/>
        <v>Medium</v>
      </c>
    </row>
    <row r="288" spans="1:17" hidden="1" x14ac:dyDescent="0.3">
      <c r="A288">
        <v>288</v>
      </c>
      <c r="B288">
        <v>22</v>
      </c>
      <c r="C288" t="str">
        <f t="shared" si="38"/>
        <v>Young Adult</v>
      </c>
      <c r="D288" t="s">
        <v>21</v>
      </c>
      <c r="E288" t="s">
        <v>22</v>
      </c>
      <c r="F288" t="s">
        <v>44</v>
      </c>
      <c r="G288">
        <v>3.5</v>
      </c>
      <c r="H288" t="str">
        <f t="shared" si="39"/>
        <v>Low Use</v>
      </c>
      <c r="I288" t="s">
        <v>41</v>
      </c>
      <c r="J288" t="s">
        <v>26</v>
      </c>
      <c r="K288">
        <v>8</v>
      </c>
      <c r="L288" t="str">
        <f t="shared" si="40"/>
        <v>Sufficient Sleep</v>
      </c>
      <c r="M288">
        <v>8</v>
      </c>
      <c r="N288" t="str">
        <f t="shared" si="41"/>
        <v>Sever</v>
      </c>
      <c r="O288" t="s">
        <v>20</v>
      </c>
      <c r="P288">
        <v>4</v>
      </c>
      <c r="Q288" t="str">
        <f t="shared" si="45"/>
        <v>Low</v>
      </c>
    </row>
    <row r="289" spans="1:17" hidden="1" x14ac:dyDescent="0.3">
      <c r="A289">
        <v>289</v>
      </c>
      <c r="B289">
        <v>19</v>
      </c>
      <c r="C289" t="str">
        <f t="shared" si="38"/>
        <v>Teenager</v>
      </c>
      <c r="D289" t="s">
        <v>13</v>
      </c>
      <c r="E289" t="s">
        <v>14</v>
      </c>
      <c r="F289" t="s">
        <v>51</v>
      </c>
      <c r="G289">
        <v>3</v>
      </c>
      <c r="H289" t="str">
        <f t="shared" si="39"/>
        <v>Low Use</v>
      </c>
      <c r="I289" t="s">
        <v>211</v>
      </c>
      <c r="J289" t="s">
        <v>26</v>
      </c>
      <c r="K289">
        <v>8.6</v>
      </c>
      <c r="L289" t="str">
        <f t="shared" si="40"/>
        <v>Sufficient Sleep</v>
      </c>
      <c r="M289">
        <v>8</v>
      </c>
      <c r="N289" t="str">
        <f t="shared" si="41"/>
        <v>Sever</v>
      </c>
      <c r="O289" t="s">
        <v>28</v>
      </c>
      <c r="Q289">
        <v>3</v>
      </c>
    </row>
    <row r="290" spans="1:17" hidden="1" x14ac:dyDescent="0.3">
      <c r="A290">
        <v>290</v>
      </c>
      <c r="B290">
        <v>21</v>
      </c>
      <c r="C290" t="str">
        <f t="shared" si="38"/>
        <v>Young Adult</v>
      </c>
      <c r="D290" t="s">
        <v>21</v>
      </c>
      <c r="E290" t="s">
        <v>22</v>
      </c>
      <c r="F290" t="s">
        <v>60</v>
      </c>
      <c r="G290">
        <v>5.2</v>
      </c>
      <c r="H290" t="str">
        <f t="shared" si="39"/>
        <v>Moderate Use</v>
      </c>
      <c r="I290" t="s">
        <v>17</v>
      </c>
      <c r="J290" t="s">
        <v>18</v>
      </c>
      <c r="K290">
        <v>6.9</v>
      </c>
      <c r="L290" t="str">
        <f t="shared" si="40"/>
        <v>Severly Deficient Sleep</v>
      </c>
      <c r="M290">
        <v>5</v>
      </c>
      <c r="N290" t="str">
        <f t="shared" si="41"/>
        <v>Moderate</v>
      </c>
      <c r="O290" t="s">
        <v>28</v>
      </c>
      <c r="P290">
        <v>7</v>
      </c>
      <c r="Q290" t="str">
        <f>IF(P290&gt;=7,"High",IF(P290&gt;=5,"Medium","Low"))</f>
        <v>High</v>
      </c>
    </row>
    <row r="291" spans="1:17" hidden="1" x14ac:dyDescent="0.3">
      <c r="A291">
        <v>291</v>
      </c>
      <c r="B291">
        <v>20</v>
      </c>
      <c r="C291" t="str">
        <f t="shared" si="38"/>
        <v>Young Adult</v>
      </c>
      <c r="D291" t="s">
        <v>13</v>
      </c>
      <c r="E291" t="s">
        <v>14</v>
      </c>
      <c r="F291" t="s">
        <v>53</v>
      </c>
      <c r="G291">
        <v>4.5</v>
      </c>
      <c r="H291" t="str">
        <f t="shared" si="39"/>
        <v>Moderate Use</v>
      </c>
      <c r="I291" t="s">
        <v>212</v>
      </c>
      <c r="J291" t="s">
        <v>18</v>
      </c>
      <c r="K291">
        <v>7.3</v>
      </c>
      <c r="L291" t="str">
        <f t="shared" si="40"/>
        <v>Sufficient Sleep</v>
      </c>
      <c r="M291">
        <v>6</v>
      </c>
      <c r="N291" t="str">
        <f t="shared" si="41"/>
        <v>Moderate</v>
      </c>
      <c r="O291" t="s">
        <v>20</v>
      </c>
      <c r="Q291">
        <v>6</v>
      </c>
    </row>
    <row r="292" spans="1:17" hidden="1" x14ac:dyDescent="0.3">
      <c r="A292">
        <v>292</v>
      </c>
      <c r="B292">
        <v>22</v>
      </c>
      <c r="C292" t="str">
        <f t="shared" si="38"/>
        <v>Young Adult</v>
      </c>
      <c r="D292" t="s">
        <v>21</v>
      </c>
      <c r="E292" t="s">
        <v>22</v>
      </c>
      <c r="F292" t="s">
        <v>63</v>
      </c>
      <c r="G292">
        <v>4</v>
      </c>
      <c r="H292" t="str">
        <f t="shared" si="39"/>
        <v>Moderate Use</v>
      </c>
      <c r="I292" t="s">
        <v>213</v>
      </c>
      <c r="J292" t="s">
        <v>26</v>
      </c>
      <c r="K292">
        <v>8</v>
      </c>
      <c r="L292" t="str">
        <f t="shared" si="40"/>
        <v>Sufficient Sleep</v>
      </c>
      <c r="M292">
        <v>7</v>
      </c>
      <c r="N292" t="str">
        <f t="shared" si="41"/>
        <v>Sever</v>
      </c>
      <c r="O292" t="s">
        <v>28</v>
      </c>
      <c r="Q292">
        <v>5</v>
      </c>
    </row>
    <row r="293" spans="1:17" x14ac:dyDescent="0.3">
      <c r="A293">
        <v>293</v>
      </c>
      <c r="B293">
        <v>19</v>
      </c>
      <c r="C293" t="str">
        <f t="shared" si="38"/>
        <v>Teenager</v>
      </c>
      <c r="D293" t="s">
        <v>13</v>
      </c>
      <c r="E293" t="s">
        <v>14</v>
      </c>
      <c r="F293" t="s">
        <v>29</v>
      </c>
      <c r="G293">
        <v>6.8</v>
      </c>
      <c r="H293" t="str">
        <f t="shared" si="39"/>
        <v>Heavy Use</v>
      </c>
      <c r="I293" t="s">
        <v>31</v>
      </c>
      <c r="J293" t="s">
        <v>18</v>
      </c>
      <c r="K293">
        <v>5.3</v>
      </c>
      <c r="L293" t="str">
        <f t="shared" si="40"/>
        <v>Severly Deficient Sleep</v>
      </c>
      <c r="M293">
        <v>4</v>
      </c>
      <c r="N293" t="str">
        <f t="shared" si="41"/>
        <v>Mild</v>
      </c>
      <c r="O293" t="s">
        <v>20</v>
      </c>
      <c r="P293">
        <v>9</v>
      </c>
      <c r="Q293" t="str">
        <f>IF(P293&gt;=7,"High",IF(P293&gt;=6,"Medium","Low"))</f>
        <v>High</v>
      </c>
    </row>
    <row r="294" spans="1:17" hidden="1" x14ac:dyDescent="0.3">
      <c r="A294">
        <v>294</v>
      </c>
      <c r="B294">
        <v>21</v>
      </c>
      <c r="C294" t="str">
        <f t="shared" si="38"/>
        <v>Young Adult</v>
      </c>
      <c r="D294" t="s">
        <v>21</v>
      </c>
      <c r="E294" t="s">
        <v>22</v>
      </c>
      <c r="F294" t="s">
        <v>35</v>
      </c>
      <c r="G294">
        <v>4.9000000000000004</v>
      </c>
      <c r="H294" t="str">
        <f t="shared" si="39"/>
        <v>Moderate Use</v>
      </c>
      <c r="I294" t="s">
        <v>17</v>
      </c>
      <c r="J294" t="s">
        <v>18</v>
      </c>
      <c r="K294">
        <v>6.7</v>
      </c>
      <c r="L294" t="str">
        <f t="shared" si="40"/>
        <v>Severly Deficient Sleep</v>
      </c>
      <c r="M294">
        <v>6</v>
      </c>
      <c r="N294" t="str">
        <f t="shared" si="41"/>
        <v>Moderate</v>
      </c>
      <c r="O294" t="s">
        <v>28</v>
      </c>
      <c r="P294">
        <v>7</v>
      </c>
      <c r="Q294" t="str">
        <f t="shared" ref="Q293:Q296" si="46">IF(P294&gt;=7,"High",IF(P294&gt;=5,"Medium","Low"))</f>
        <v>High</v>
      </c>
    </row>
    <row r="295" spans="1:17" hidden="1" x14ac:dyDescent="0.3">
      <c r="A295">
        <v>295</v>
      </c>
      <c r="B295">
        <v>20</v>
      </c>
      <c r="C295" t="str">
        <f t="shared" si="38"/>
        <v>Young Adult</v>
      </c>
      <c r="D295" t="s">
        <v>13</v>
      </c>
      <c r="E295" t="s">
        <v>14</v>
      </c>
      <c r="F295" t="s">
        <v>42</v>
      </c>
      <c r="G295">
        <v>4.2</v>
      </c>
      <c r="H295" t="str">
        <f t="shared" si="39"/>
        <v>Moderate Use</v>
      </c>
      <c r="I295" t="s">
        <v>41</v>
      </c>
      <c r="J295" t="s">
        <v>26</v>
      </c>
      <c r="K295">
        <v>7.6</v>
      </c>
      <c r="L295" t="str">
        <f t="shared" si="40"/>
        <v>Sufficient Sleep</v>
      </c>
      <c r="M295">
        <v>7</v>
      </c>
      <c r="N295" t="str">
        <f t="shared" si="41"/>
        <v>Sever</v>
      </c>
      <c r="O295" t="s">
        <v>20</v>
      </c>
      <c r="P295">
        <v>5</v>
      </c>
      <c r="Q295" t="str">
        <f t="shared" si="46"/>
        <v>Medium</v>
      </c>
    </row>
    <row r="296" spans="1:17" hidden="1" x14ac:dyDescent="0.3">
      <c r="A296">
        <v>296</v>
      </c>
      <c r="B296">
        <v>22</v>
      </c>
      <c r="C296" t="str">
        <f t="shared" si="38"/>
        <v>Young Adult</v>
      </c>
      <c r="D296" t="s">
        <v>21</v>
      </c>
      <c r="E296" t="s">
        <v>22</v>
      </c>
      <c r="F296" t="s">
        <v>44</v>
      </c>
      <c r="G296">
        <v>3.4</v>
      </c>
      <c r="H296" t="str">
        <f t="shared" si="39"/>
        <v>Low Use</v>
      </c>
      <c r="I296" t="s">
        <v>17</v>
      </c>
      <c r="J296" t="s">
        <v>26</v>
      </c>
      <c r="K296">
        <v>8.1</v>
      </c>
      <c r="L296" t="str">
        <f t="shared" si="40"/>
        <v>Sufficient Sleep</v>
      </c>
      <c r="M296">
        <v>8</v>
      </c>
      <c r="N296" t="str">
        <f t="shared" si="41"/>
        <v>Sever</v>
      </c>
      <c r="O296" t="s">
        <v>28</v>
      </c>
      <c r="P296">
        <v>4</v>
      </c>
      <c r="Q296" t="str">
        <f t="shared" si="46"/>
        <v>Low</v>
      </c>
    </row>
    <row r="297" spans="1:17" hidden="1" x14ac:dyDescent="0.3">
      <c r="A297">
        <v>297</v>
      </c>
      <c r="B297">
        <v>19</v>
      </c>
      <c r="C297" t="str">
        <f t="shared" si="38"/>
        <v>Teenager</v>
      </c>
      <c r="D297" t="s">
        <v>13</v>
      </c>
      <c r="E297" t="s">
        <v>14</v>
      </c>
      <c r="F297" t="s">
        <v>51</v>
      </c>
      <c r="G297">
        <v>2.9</v>
      </c>
      <c r="H297" t="str">
        <f t="shared" si="39"/>
        <v>Low Use</v>
      </c>
      <c r="I297" t="s">
        <v>211</v>
      </c>
      <c r="J297" t="s">
        <v>26</v>
      </c>
      <c r="K297">
        <v>8.6999999999999993</v>
      </c>
      <c r="L297" t="str">
        <f t="shared" si="40"/>
        <v>Sufficient Sleep</v>
      </c>
      <c r="M297">
        <v>8</v>
      </c>
      <c r="N297" t="str">
        <f t="shared" si="41"/>
        <v>Sever</v>
      </c>
      <c r="O297" t="s">
        <v>28</v>
      </c>
      <c r="Q297">
        <v>3</v>
      </c>
    </row>
    <row r="298" spans="1:17" hidden="1" x14ac:dyDescent="0.3">
      <c r="A298">
        <v>298</v>
      </c>
      <c r="B298">
        <v>21</v>
      </c>
      <c r="C298" t="str">
        <f t="shared" si="38"/>
        <v>Young Adult</v>
      </c>
      <c r="D298" t="s">
        <v>21</v>
      </c>
      <c r="E298" t="s">
        <v>22</v>
      </c>
      <c r="F298" t="s">
        <v>60</v>
      </c>
      <c r="G298">
        <v>5.0999999999999996</v>
      </c>
      <c r="H298" t="str">
        <f t="shared" si="39"/>
        <v>Moderate Use</v>
      </c>
      <c r="I298" t="s">
        <v>31</v>
      </c>
      <c r="J298" t="s">
        <v>18</v>
      </c>
      <c r="K298">
        <v>7</v>
      </c>
      <c r="L298" t="str">
        <f t="shared" si="40"/>
        <v>Sufficient Sleep</v>
      </c>
      <c r="M298">
        <v>5</v>
      </c>
      <c r="N298" t="str">
        <f t="shared" si="41"/>
        <v>Moderate</v>
      </c>
      <c r="O298" t="s">
        <v>20</v>
      </c>
      <c r="P298">
        <v>8</v>
      </c>
      <c r="Q298" t="str">
        <f>IF(P298&gt;=7,"High",IF(P298&gt;=5,"Medium","Low"))</f>
        <v>High</v>
      </c>
    </row>
    <row r="299" spans="1:17" hidden="1" x14ac:dyDescent="0.3">
      <c r="A299">
        <v>299</v>
      </c>
      <c r="B299">
        <v>20</v>
      </c>
      <c r="C299" t="str">
        <f t="shared" si="38"/>
        <v>Young Adult</v>
      </c>
      <c r="D299" t="s">
        <v>13</v>
      </c>
      <c r="E299" t="s">
        <v>14</v>
      </c>
      <c r="F299" t="s">
        <v>53</v>
      </c>
      <c r="G299">
        <v>4.4000000000000004</v>
      </c>
      <c r="H299" t="str">
        <f t="shared" si="39"/>
        <v>Moderate Use</v>
      </c>
      <c r="I299" t="s">
        <v>212</v>
      </c>
      <c r="J299" t="s">
        <v>18</v>
      </c>
      <c r="K299">
        <v>7.4</v>
      </c>
      <c r="L299" t="str">
        <f t="shared" si="40"/>
        <v>Sufficient Sleep</v>
      </c>
      <c r="M299">
        <v>6</v>
      </c>
      <c r="N299" t="str">
        <f t="shared" si="41"/>
        <v>Moderate</v>
      </c>
      <c r="O299" t="s">
        <v>28</v>
      </c>
      <c r="Q299">
        <v>6</v>
      </c>
    </row>
    <row r="300" spans="1:17" hidden="1" x14ac:dyDescent="0.3">
      <c r="A300">
        <v>300</v>
      </c>
      <c r="B300">
        <v>22</v>
      </c>
      <c r="C300" t="str">
        <f t="shared" si="38"/>
        <v>Young Adult</v>
      </c>
      <c r="D300" t="s">
        <v>21</v>
      </c>
      <c r="E300" t="s">
        <v>22</v>
      </c>
      <c r="F300" t="s">
        <v>63</v>
      </c>
      <c r="G300">
        <v>3.9</v>
      </c>
      <c r="H300" t="str">
        <f t="shared" si="39"/>
        <v>Low Use</v>
      </c>
      <c r="I300" t="s">
        <v>213</v>
      </c>
      <c r="J300" t="s">
        <v>26</v>
      </c>
      <c r="K300">
        <v>8.1</v>
      </c>
      <c r="L300" t="str">
        <f t="shared" si="40"/>
        <v>Sufficient Sleep</v>
      </c>
      <c r="M300">
        <v>7</v>
      </c>
      <c r="N300" t="str">
        <f t="shared" si="41"/>
        <v>Sever</v>
      </c>
      <c r="O300" t="s">
        <v>20</v>
      </c>
      <c r="Q300">
        <v>5</v>
      </c>
    </row>
    <row r="301" spans="1:17" x14ac:dyDescent="0.3">
      <c r="A301">
        <v>301</v>
      </c>
      <c r="B301">
        <v>19</v>
      </c>
      <c r="C301" t="str">
        <f t="shared" si="38"/>
        <v>Teenager</v>
      </c>
      <c r="D301" t="s">
        <v>13</v>
      </c>
      <c r="E301" t="s">
        <v>14</v>
      </c>
      <c r="F301" t="s">
        <v>29</v>
      </c>
      <c r="G301">
        <v>6.9</v>
      </c>
      <c r="H301" t="str">
        <f t="shared" si="39"/>
        <v>Heavy Use</v>
      </c>
      <c r="I301" t="s">
        <v>17</v>
      </c>
      <c r="J301" t="s">
        <v>18</v>
      </c>
      <c r="K301">
        <v>5.2</v>
      </c>
      <c r="L301" t="str">
        <f t="shared" si="40"/>
        <v>Severly Deficient Sleep</v>
      </c>
      <c r="M301">
        <v>4</v>
      </c>
      <c r="N301" t="str">
        <f t="shared" si="41"/>
        <v>Mild</v>
      </c>
      <c r="O301" t="s">
        <v>28</v>
      </c>
      <c r="P301">
        <v>9</v>
      </c>
      <c r="Q301" t="str">
        <f>IF(P301&gt;=7,"High",IF(P301&gt;=6,"Medium","Low"))</f>
        <v>High</v>
      </c>
    </row>
    <row r="302" spans="1:17" hidden="1" x14ac:dyDescent="0.3">
      <c r="A302">
        <v>302</v>
      </c>
      <c r="B302">
        <v>21</v>
      </c>
      <c r="C302" t="str">
        <f t="shared" si="38"/>
        <v>Young Adult</v>
      </c>
      <c r="D302" t="s">
        <v>21</v>
      </c>
      <c r="E302" t="s">
        <v>22</v>
      </c>
      <c r="F302" t="s">
        <v>35</v>
      </c>
      <c r="G302">
        <v>4.8</v>
      </c>
      <c r="H302" t="str">
        <f t="shared" si="39"/>
        <v>Moderate Use</v>
      </c>
      <c r="I302" t="s">
        <v>41</v>
      </c>
      <c r="J302" t="s">
        <v>18</v>
      </c>
      <c r="K302">
        <v>6.8</v>
      </c>
      <c r="L302" t="str">
        <f t="shared" si="40"/>
        <v>Severly Deficient Sleep</v>
      </c>
      <c r="M302">
        <v>6</v>
      </c>
      <c r="N302" t="str">
        <f t="shared" si="41"/>
        <v>Moderate</v>
      </c>
      <c r="O302" t="s">
        <v>20</v>
      </c>
      <c r="P302">
        <v>7</v>
      </c>
      <c r="Q302" t="str">
        <f t="shared" ref="Q301:Q304" si="47">IF(P302&gt;=7,"High",IF(P302&gt;=5,"Medium","Low"))</f>
        <v>High</v>
      </c>
    </row>
    <row r="303" spans="1:17" hidden="1" x14ac:dyDescent="0.3">
      <c r="A303">
        <v>303</v>
      </c>
      <c r="B303">
        <v>20</v>
      </c>
      <c r="C303" t="str">
        <f t="shared" si="38"/>
        <v>Young Adult</v>
      </c>
      <c r="D303" t="s">
        <v>13</v>
      </c>
      <c r="E303" t="s">
        <v>14</v>
      </c>
      <c r="F303" t="s">
        <v>42</v>
      </c>
      <c r="G303">
        <v>4.0999999999999996</v>
      </c>
      <c r="H303" t="str">
        <f t="shared" si="39"/>
        <v>Moderate Use</v>
      </c>
      <c r="I303" t="s">
        <v>17</v>
      </c>
      <c r="J303" t="s">
        <v>26</v>
      </c>
      <c r="K303">
        <v>7.7</v>
      </c>
      <c r="L303" t="str">
        <f t="shared" si="40"/>
        <v>Sufficient Sleep</v>
      </c>
      <c r="M303">
        <v>7</v>
      </c>
      <c r="N303" t="str">
        <f t="shared" si="41"/>
        <v>Sever</v>
      </c>
      <c r="O303" t="s">
        <v>28</v>
      </c>
      <c r="P303">
        <v>5</v>
      </c>
      <c r="Q303" t="str">
        <f t="shared" si="47"/>
        <v>Medium</v>
      </c>
    </row>
    <row r="304" spans="1:17" hidden="1" x14ac:dyDescent="0.3">
      <c r="A304">
        <v>304</v>
      </c>
      <c r="B304">
        <v>22</v>
      </c>
      <c r="C304" t="str">
        <f t="shared" si="38"/>
        <v>Young Adult</v>
      </c>
      <c r="D304" t="s">
        <v>21</v>
      </c>
      <c r="E304" t="s">
        <v>22</v>
      </c>
      <c r="F304" t="s">
        <v>44</v>
      </c>
      <c r="G304">
        <v>3.3</v>
      </c>
      <c r="H304" t="str">
        <f t="shared" si="39"/>
        <v>Low Use</v>
      </c>
      <c r="I304" t="s">
        <v>41</v>
      </c>
      <c r="J304" t="s">
        <v>26</v>
      </c>
      <c r="K304">
        <v>8.1999999999999993</v>
      </c>
      <c r="L304" t="str">
        <f t="shared" si="40"/>
        <v>Sufficient Sleep</v>
      </c>
      <c r="M304">
        <v>8</v>
      </c>
      <c r="N304" t="str">
        <f t="shared" si="41"/>
        <v>Sever</v>
      </c>
      <c r="O304" t="s">
        <v>20</v>
      </c>
      <c r="P304">
        <v>4</v>
      </c>
      <c r="Q304" t="str">
        <f t="shared" si="47"/>
        <v>Low</v>
      </c>
    </row>
    <row r="305" spans="1:17" hidden="1" x14ac:dyDescent="0.3">
      <c r="A305">
        <v>305</v>
      </c>
      <c r="B305">
        <v>19</v>
      </c>
      <c r="C305" t="str">
        <f t="shared" si="38"/>
        <v>Teenager</v>
      </c>
      <c r="D305" t="s">
        <v>13</v>
      </c>
      <c r="E305" t="s">
        <v>14</v>
      </c>
      <c r="F305" t="s">
        <v>51</v>
      </c>
      <c r="G305">
        <v>2.8</v>
      </c>
      <c r="H305" t="str">
        <f t="shared" si="39"/>
        <v>Low Use</v>
      </c>
      <c r="I305" t="s">
        <v>211</v>
      </c>
      <c r="J305" t="s">
        <v>26</v>
      </c>
      <c r="K305">
        <v>8.8000000000000007</v>
      </c>
      <c r="L305" t="str">
        <f t="shared" si="40"/>
        <v>Sufficient Sleep</v>
      </c>
      <c r="M305">
        <v>8</v>
      </c>
      <c r="N305" t="str">
        <f t="shared" si="41"/>
        <v>Sever</v>
      </c>
      <c r="O305" t="s">
        <v>28</v>
      </c>
      <c r="Q305">
        <v>3</v>
      </c>
    </row>
    <row r="306" spans="1:17" hidden="1" x14ac:dyDescent="0.3">
      <c r="A306">
        <v>306</v>
      </c>
      <c r="B306">
        <v>21</v>
      </c>
      <c r="C306" t="str">
        <f t="shared" si="38"/>
        <v>Young Adult</v>
      </c>
      <c r="D306" t="s">
        <v>21</v>
      </c>
      <c r="E306" t="s">
        <v>22</v>
      </c>
      <c r="F306" t="s">
        <v>60</v>
      </c>
      <c r="G306">
        <v>5</v>
      </c>
      <c r="H306" t="str">
        <f t="shared" si="39"/>
        <v>Moderate Use</v>
      </c>
      <c r="I306" t="s">
        <v>17</v>
      </c>
      <c r="J306" t="s">
        <v>18</v>
      </c>
      <c r="K306">
        <v>7.1</v>
      </c>
      <c r="L306" t="str">
        <f t="shared" si="40"/>
        <v>Sufficient Sleep</v>
      </c>
      <c r="M306">
        <v>5</v>
      </c>
      <c r="N306" t="str">
        <f t="shared" si="41"/>
        <v>Moderate</v>
      </c>
      <c r="O306" t="s">
        <v>28</v>
      </c>
      <c r="P306">
        <v>7</v>
      </c>
      <c r="Q306" t="str">
        <f>IF(P306&gt;=7,"High",IF(P306&gt;=5,"Medium","Low"))</f>
        <v>High</v>
      </c>
    </row>
    <row r="307" spans="1:17" hidden="1" x14ac:dyDescent="0.3">
      <c r="A307">
        <v>307</v>
      </c>
      <c r="B307">
        <v>20</v>
      </c>
      <c r="C307" t="str">
        <f t="shared" si="38"/>
        <v>Young Adult</v>
      </c>
      <c r="D307" t="s">
        <v>13</v>
      </c>
      <c r="E307" t="s">
        <v>14</v>
      </c>
      <c r="F307" t="s">
        <v>53</v>
      </c>
      <c r="G307">
        <v>4.3</v>
      </c>
      <c r="H307" t="str">
        <f t="shared" si="39"/>
        <v>Moderate Use</v>
      </c>
      <c r="I307" t="s">
        <v>212</v>
      </c>
      <c r="J307" t="s">
        <v>18</v>
      </c>
      <c r="K307">
        <v>7.5</v>
      </c>
      <c r="L307" t="str">
        <f t="shared" si="40"/>
        <v>Sufficient Sleep</v>
      </c>
      <c r="M307">
        <v>6</v>
      </c>
      <c r="N307" t="str">
        <f t="shared" si="41"/>
        <v>Moderate</v>
      </c>
      <c r="O307" t="s">
        <v>20</v>
      </c>
      <c r="Q307">
        <v>6</v>
      </c>
    </row>
    <row r="308" spans="1:17" hidden="1" x14ac:dyDescent="0.3">
      <c r="A308">
        <v>308</v>
      </c>
      <c r="B308">
        <v>22</v>
      </c>
      <c r="C308" t="str">
        <f t="shared" si="38"/>
        <v>Young Adult</v>
      </c>
      <c r="D308" t="s">
        <v>21</v>
      </c>
      <c r="E308" t="s">
        <v>22</v>
      </c>
      <c r="F308" t="s">
        <v>63</v>
      </c>
      <c r="G308">
        <v>3.8</v>
      </c>
      <c r="H308" t="str">
        <f t="shared" si="39"/>
        <v>Low Use</v>
      </c>
      <c r="I308" t="s">
        <v>213</v>
      </c>
      <c r="J308" t="s">
        <v>26</v>
      </c>
      <c r="K308">
        <v>8.1999999999999993</v>
      </c>
      <c r="L308" t="str">
        <f t="shared" si="40"/>
        <v>Sufficient Sleep</v>
      </c>
      <c r="M308">
        <v>7</v>
      </c>
      <c r="N308" t="str">
        <f t="shared" si="41"/>
        <v>Sever</v>
      </c>
      <c r="O308" t="s">
        <v>28</v>
      </c>
      <c r="Q308">
        <v>5</v>
      </c>
    </row>
    <row r="309" spans="1:17" x14ac:dyDescent="0.3">
      <c r="A309">
        <v>309</v>
      </c>
      <c r="B309">
        <v>19</v>
      </c>
      <c r="C309" t="str">
        <f t="shared" si="38"/>
        <v>Teenager</v>
      </c>
      <c r="D309" t="s">
        <v>13</v>
      </c>
      <c r="E309" t="s">
        <v>14</v>
      </c>
      <c r="F309" t="s">
        <v>29</v>
      </c>
      <c r="G309">
        <v>7</v>
      </c>
      <c r="H309" t="str">
        <f t="shared" si="39"/>
        <v>Heavy Use</v>
      </c>
      <c r="I309" t="s">
        <v>31</v>
      </c>
      <c r="J309" t="s">
        <v>18</v>
      </c>
      <c r="K309">
        <v>5.0999999999999996</v>
      </c>
      <c r="L309" t="str">
        <f t="shared" si="40"/>
        <v>Severly Deficient Sleep</v>
      </c>
      <c r="M309">
        <v>4</v>
      </c>
      <c r="N309" t="str">
        <f t="shared" si="41"/>
        <v>Mild</v>
      </c>
      <c r="O309" t="s">
        <v>20</v>
      </c>
      <c r="P309">
        <v>9</v>
      </c>
      <c r="Q309" t="str">
        <f>IF(P309&gt;=7,"High",IF(P309&gt;=6,"Medium","Low"))</f>
        <v>High</v>
      </c>
    </row>
    <row r="310" spans="1:17" hidden="1" x14ac:dyDescent="0.3">
      <c r="A310">
        <v>310</v>
      </c>
      <c r="B310">
        <v>21</v>
      </c>
      <c r="C310" t="str">
        <f t="shared" si="38"/>
        <v>Young Adult</v>
      </c>
      <c r="D310" t="s">
        <v>21</v>
      </c>
      <c r="E310" t="s">
        <v>22</v>
      </c>
      <c r="F310" t="s">
        <v>35</v>
      </c>
      <c r="G310">
        <v>4.7</v>
      </c>
      <c r="H310" t="str">
        <f t="shared" si="39"/>
        <v>Moderate Use</v>
      </c>
      <c r="I310" t="s">
        <v>17</v>
      </c>
      <c r="J310" t="s">
        <v>18</v>
      </c>
      <c r="K310">
        <v>6.9</v>
      </c>
      <c r="L310" t="str">
        <f t="shared" si="40"/>
        <v>Severly Deficient Sleep</v>
      </c>
      <c r="M310">
        <v>6</v>
      </c>
      <c r="N310" t="str">
        <f t="shared" si="41"/>
        <v>Moderate</v>
      </c>
      <c r="O310" t="s">
        <v>28</v>
      </c>
      <c r="P310">
        <v>7</v>
      </c>
      <c r="Q310" t="str">
        <f t="shared" ref="Q309:Q312" si="48">IF(P310&gt;=7,"High",IF(P310&gt;=5,"Medium","Low"))</f>
        <v>High</v>
      </c>
    </row>
    <row r="311" spans="1:17" hidden="1" x14ac:dyDescent="0.3">
      <c r="A311">
        <v>311</v>
      </c>
      <c r="B311">
        <v>20</v>
      </c>
      <c r="C311" t="str">
        <f t="shared" si="38"/>
        <v>Young Adult</v>
      </c>
      <c r="D311" t="s">
        <v>13</v>
      </c>
      <c r="E311" t="s">
        <v>14</v>
      </c>
      <c r="F311" t="s">
        <v>42</v>
      </c>
      <c r="G311">
        <v>4</v>
      </c>
      <c r="H311" t="str">
        <f t="shared" si="39"/>
        <v>Moderate Use</v>
      </c>
      <c r="I311" t="s">
        <v>41</v>
      </c>
      <c r="J311" t="s">
        <v>26</v>
      </c>
      <c r="K311">
        <v>7.8</v>
      </c>
      <c r="L311" t="str">
        <f t="shared" si="40"/>
        <v>Sufficient Sleep</v>
      </c>
      <c r="M311">
        <v>7</v>
      </c>
      <c r="N311" t="str">
        <f t="shared" si="41"/>
        <v>Sever</v>
      </c>
      <c r="O311" t="s">
        <v>20</v>
      </c>
      <c r="P311">
        <v>5</v>
      </c>
      <c r="Q311" t="str">
        <f t="shared" si="48"/>
        <v>Medium</v>
      </c>
    </row>
    <row r="312" spans="1:17" hidden="1" x14ac:dyDescent="0.3">
      <c r="A312">
        <v>312</v>
      </c>
      <c r="B312">
        <v>22</v>
      </c>
      <c r="C312" t="str">
        <f t="shared" si="38"/>
        <v>Young Adult</v>
      </c>
      <c r="D312" t="s">
        <v>21</v>
      </c>
      <c r="E312" t="s">
        <v>22</v>
      </c>
      <c r="F312" t="s">
        <v>44</v>
      </c>
      <c r="G312">
        <v>3.2</v>
      </c>
      <c r="H312" t="str">
        <f t="shared" si="39"/>
        <v>Low Use</v>
      </c>
      <c r="I312" t="s">
        <v>17</v>
      </c>
      <c r="J312" t="s">
        <v>26</v>
      </c>
      <c r="K312">
        <v>8.3000000000000007</v>
      </c>
      <c r="L312" t="str">
        <f t="shared" si="40"/>
        <v>Sufficient Sleep</v>
      </c>
      <c r="M312">
        <v>8</v>
      </c>
      <c r="N312" t="str">
        <f t="shared" si="41"/>
        <v>Sever</v>
      </c>
      <c r="O312" t="s">
        <v>28</v>
      </c>
      <c r="P312">
        <v>4</v>
      </c>
      <c r="Q312" t="str">
        <f t="shared" si="48"/>
        <v>Low</v>
      </c>
    </row>
    <row r="313" spans="1:17" hidden="1" x14ac:dyDescent="0.3">
      <c r="A313">
        <v>313</v>
      </c>
      <c r="B313">
        <v>19</v>
      </c>
      <c r="C313" t="str">
        <f t="shared" si="38"/>
        <v>Teenager</v>
      </c>
      <c r="D313" t="s">
        <v>13</v>
      </c>
      <c r="E313" t="s">
        <v>14</v>
      </c>
      <c r="F313" t="s">
        <v>51</v>
      </c>
      <c r="G313">
        <v>2.7</v>
      </c>
      <c r="H313" t="str">
        <f t="shared" si="39"/>
        <v>Low Use</v>
      </c>
      <c r="I313" t="s">
        <v>211</v>
      </c>
      <c r="J313" t="s">
        <v>26</v>
      </c>
      <c r="K313">
        <v>8.9</v>
      </c>
      <c r="L313" t="str">
        <f t="shared" si="40"/>
        <v>Sufficient Sleep</v>
      </c>
      <c r="M313">
        <v>8</v>
      </c>
      <c r="N313" t="str">
        <f t="shared" si="41"/>
        <v>Sever</v>
      </c>
      <c r="O313" t="s">
        <v>28</v>
      </c>
      <c r="Q313">
        <v>3</v>
      </c>
    </row>
    <row r="314" spans="1:17" hidden="1" x14ac:dyDescent="0.3">
      <c r="A314">
        <v>314</v>
      </c>
      <c r="B314">
        <v>21</v>
      </c>
      <c r="C314" t="str">
        <f t="shared" si="38"/>
        <v>Young Adult</v>
      </c>
      <c r="D314" t="s">
        <v>21</v>
      </c>
      <c r="E314" t="s">
        <v>22</v>
      </c>
      <c r="F314" t="s">
        <v>60</v>
      </c>
      <c r="G314">
        <v>4.9000000000000004</v>
      </c>
      <c r="H314" t="str">
        <f t="shared" si="39"/>
        <v>Moderate Use</v>
      </c>
      <c r="I314" t="s">
        <v>31</v>
      </c>
      <c r="J314" t="s">
        <v>18</v>
      </c>
      <c r="K314">
        <v>7.2</v>
      </c>
      <c r="L314" t="str">
        <f t="shared" si="40"/>
        <v>Sufficient Sleep</v>
      </c>
      <c r="M314">
        <v>5</v>
      </c>
      <c r="N314" t="str">
        <f t="shared" si="41"/>
        <v>Moderate</v>
      </c>
      <c r="O314" t="s">
        <v>20</v>
      </c>
      <c r="P314">
        <v>8</v>
      </c>
      <c r="Q314" t="str">
        <f>IF(P314&gt;=7,"High",IF(P314&gt;=5,"Medium","Low"))</f>
        <v>High</v>
      </c>
    </row>
    <row r="315" spans="1:17" hidden="1" x14ac:dyDescent="0.3">
      <c r="A315">
        <v>315</v>
      </c>
      <c r="B315">
        <v>20</v>
      </c>
      <c r="C315" t="str">
        <f t="shared" si="38"/>
        <v>Young Adult</v>
      </c>
      <c r="D315" t="s">
        <v>13</v>
      </c>
      <c r="E315" t="s">
        <v>14</v>
      </c>
      <c r="F315" t="s">
        <v>53</v>
      </c>
      <c r="G315">
        <v>4.2</v>
      </c>
      <c r="H315" t="str">
        <f t="shared" si="39"/>
        <v>Moderate Use</v>
      </c>
      <c r="I315" t="s">
        <v>212</v>
      </c>
      <c r="J315" t="s">
        <v>18</v>
      </c>
      <c r="K315">
        <v>7.6</v>
      </c>
      <c r="L315" t="str">
        <f t="shared" si="40"/>
        <v>Sufficient Sleep</v>
      </c>
      <c r="M315">
        <v>6</v>
      </c>
      <c r="N315" t="str">
        <f t="shared" si="41"/>
        <v>Moderate</v>
      </c>
      <c r="O315" t="s">
        <v>28</v>
      </c>
      <c r="Q315">
        <v>6</v>
      </c>
    </row>
    <row r="316" spans="1:17" hidden="1" x14ac:dyDescent="0.3">
      <c r="A316">
        <v>316</v>
      </c>
      <c r="B316">
        <v>22</v>
      </c>
      <c r="C316" t="str">
        <f t="shared" si="38"/>
        <v>Young Adult</v>
      </c>
      <c r="D316" t="s">
        <v>21</v>
      </c>
      <c r="E316" t="s">
        <v>22</v>
      </c>
      <c r="F316" t="s">
        <v>63</v>
      </c>
      <c r="G316">
        <v>3.7</v>
      </c>
      <c r="H316" t="str">
        <f t="shared" si="39"/>
        <v>Low Use</v>
      </c>
      <c r="I316" t="s">
        <v>213</v>
      </c>
      <c r="J316" t="s">
        <v>26</v>
      </c>
      <c r="K316">
        <v>8.3000000000000007</v>
      </c>
      <c r="L316" t="str">
        <f t="shared" si="40"/>
        <v>Sufficient Sleep</v>
      </c>
      <c r="M316">
        <v>7</v>
      </c>
      <c r="N316" t="str">
        <f t="shared" si="41"/>
        <v>Sever</v>
      </c>
      <c r="O316" t="s">
        <v>20</v>
      </c>
      <c r="Q316">
        <v>5</v>
      </c>
    </row>
    <row r="317" spans="1:17" x14ac:dyDescent="0.3">
      <c r="A317">
        <v>317</v>
      </c>
      <c r="B317">
        <v>19</v>
      </c>
      <c r="C317" t="str">
        <f t="shared" si="38"/>
        <v>Teenager</v>
      </c>
      <c r="D317" t="s">
        <v>13</v>
      </c>
      <c r="E317" t="s">
        <v>14</v>
      </c>
      <c r="F317" t="s">
        <v>29</v>
      </c>
      <c r="G317">
        <v>7.1</v>
      </c>
      <c r="H317" t="str">
        <f t="shared" si="39"/>
        <v>Heavy Use</v>
      </c>
      <c r="I317" t="s">
        <v>17</v>
      </c>
      <c r="J317" t="s">
        <v>18</v>
      </c>
      <c r="K317">
        <v>5</v>
      </c>
      <c r="L317" t="str">
        <f t="shared" si="40"/>
        <v>Severly Deficient Sleep</v>
      </c>
      <c r="M317">
        <v>4</v>
      </c>
      <c r="N317" t="str">
        <f t="shared" si="41"/>
        <v>Mild</v>
      </c>
      <c r="O317" t="s">
        <v>28</v>
      </c>
      <c r="P317">
        <v>9</v>
      </c>
      <c r="Q317" t="str">
        <f>IF(P317&gt;=7,"High",IF(P317&gt;=6,"Medium","Low"))</f>
        <v>High</v>
      </c>
    </row>
    <row r="318" spans="1:17" hidden="1" x14ac:dyDescent="0.3">
      <c r="A318">
        <v>318</v>
      </c>
      <c r="B318">
        <v>21</v>
      </c>
      <c r="C318" t="str">
        <f t="shared" si="38"/>
        <v>Young Adult</v>
      </c>
      <c r="D318" t="s">
        <v>21</v>
      </c>
      <c r="E318" t="s">
        <v>22</v>
      </c>
      <c r="F318" t="s">
        <v>35</v>
      </c>
      <c r="G318">
        <v>4.5999999999999996</v>
      </c>
      <c r="H318" t="str">
        <f t="shared" si="39"/>
        <v>Moderate Use</v>
      </c>
      <c r="I318" t="s">
        <v>41</v>
      </c>
      <c r="J318" t="s">
        <v>18</v>
      </c>
      <c r="K318">
        <v>7</v>
      </c>
      <c r="L318" t="str">
        <f t="shared" si="40"/>
        <v>Sufficient Sleep</v>
      </c>
      <c r="M318">
        <v>6</v>
      </c>
      <c r="N318" t="str">
        <f t="shared" si="41"/>
        <v>Moderate</v>
      </c>
      <c r="O318" t="s">
        <v>20</v>
      </c>
      <c r="P318">
        <v>7</v>
      </c>
      <c r="Q318" t="str">
        <f t="shared" ref="Q317:Q380" si="49">IF(P318&gt;=7,"High",IF(P318&gt;=5,"Medium","Low"))</f>
        <v>High</v>
      </c>
    </row>
    <row r="319" spans="1:17" hidden="1" x14ac:dyDescent="0.3">
      <c r="A319">
        <v>319</v>
      </c>
      <c r="B319">
        <v>20</v>
      </c>
      <c r="C319" t="str">
        <f t="shared" si="38"/>
        <v>Young Adult</v>
      </c>
      <c r="D319" t="s">
        <v>13</v>
      </c>
      <c r="E319" t="s">
        <v>14</v>
      </c>
      <c r="F319" t="s">
        <v>42</v>
      </c>
      <c r="G319">
        <v>3.9</v>
      </c>
      <c r="H319" t="str">
        <f t="shared" si="39"/>
        <v>Low Use</v>
      </c>
      <c r="I319" t="s">
        <v>17</v>
      </c>
      <c r="J319" t="s">
        <v>26</v>
      </c>
      <c r="K319">
        <v>7.9</v>
      </c>
      <c r="L319" t="str">
        <f t="shared" si="40"/>
        <v>Sufficient Sleep</v>
      </c>
      <c r="M319">
        <v>7</v>
      </c>
      <c r="N319" t="str">
        <f t="shared" si="41"/>
        <v>Sever</v>
      </c>
      <c r="O319" t="s">
        <v>28</v>
      </c>
      <c r="P319">
        <v>5</v>
      </c>
      <c r="Q319" t="str">
        <f t="shared" si="49"/>
        <v>Medium</v>
      </c>
    </row>
    <row r="320" spans="1:17" hidden="1" x14ac:dyDescent="0.3">
      <c r="A320">
        <v>320</v>
      </c>
      <c r="B320">
        <v>22</v>
      </c>
      <c r="C320" t="str">
        <f t="shared" si="38"/>
        <v>Young Adult</v>
      </c>
      <c r="D320" t="s">
        <v>21</v>
      </c>
      <c r="E320" t="s">
        <v>22</v>
      </c>
      <c r="F320" t="s">
        <v>44</v>
      </c>
      <c r="G320">
        <v>3.1</v>
      </c>
      <c r="H320" t="str">
        <f t="shared" si="39"/>
        <v>Low Use</v>
      </c>
      <c r="I320" t="s">
        <v>41</v>
      </c>
      <c r="J320" t="s">
        <v>26</v>
      </c>
      <c r="K320">
        <v>8.4</v>
      </c>
      <c r="L320" t="str">
        <f t="shared" si="40"/>
        <v>Sufficient Sleep</v>
      </c>
      <c r="M320">
        <v>8</v>
      </c>
      <c r="N320" t="str">
        <f t="shared" si="41"/>
        <v>Sever</v>
      </c>
      <c r="O320" t="s">
        <v>20</v>
      </c>
      <c r="P320">
        <v>4</v>
      </c>
      <c r="Q320" t="str">
        <f t="shared" si="49"/>
        <v>Low</v>
      </c>
    </row>
    <row r="321" spans="1:17" x14ac:dyDescent="0.3">
      <c r="A321">
        <v>321</v>
      </c>
      <c r="B321">
        <v>19</v>
      </c>
      <c r="C321" t="str">
        <f t="shared" ref="C321:C384" si="50">IF(B321&gt;=20,"Young Adult","Teenager")</f>
        <v>Teenager</v>
      </c>
      <c r="D321" t="s">
        <v>13</v>
      </c>
      <c r="E321" t="s">
        <v>14</v>
      </c>
      <c r="F321" t="s">
        <v>58</v>
      </c>
      <c r="G321">
        <v>5.2</v>
      </c>
      <c r="H321" t="str">
        <f t="shared" ref="H321:H384" si="51">IF(G321&gt;=6,"Heavy Use",IF(G321&gt;=4,"Moderate Use","Low Use"))</f>
        <v>Moderate Use</v>
      </c>
      <c r="I321" t="s">
        <v>17</v>
      </c>
      <c r="J321" t="s">
        <v>18</v>
      </c>
      <c r="K321">
        <v>6.8</v>
      </c>
      <c r="L321" t="str">
        <f t="shared" ref="L321:L384" si="52">IF(K321&gt;=9,"Excessive Sleep",IF(K321&gt;=7,"Sufficient Sleep","Severly Deficient Sleep"))</f>
        <v>Severly Deficient Sleep</v>
      </c>
      <c r="M321">
        <v>6</v>
      </c>
      <c r="N321" t="str">
        <f t="shared" ref="N321:N384" si="53">IF(M321&gt;=7,"Sever",IF(M321&lt;=4,"Mild","Moderate"))</f>
        <v>Moderate</v>
      </c>
      <c r="O321" t="s">
        <v>28</v>
      </c>
      <c r="P321">
        <v>7</v>
      </c>
      <c r="Q321" t="str">
        <f>IF(P321&gt;=7,"High",IF(P321&gt;=6,"Medium","Low"))</f>
        <v>High</v>
      </c>
    </row>
    <row r="322" spans="1:17" hidden="1" x14ac:dyDescent="0.3">
      <c r="A322">
        <v>322</v>
      </c>
      <c r="B322">
        <v>21</v>
      </c>
      <c r="C322" t="str">
        <f t="shared" si="50"/>
        <v>Young Adult</v>
      </c>
      <c r="D322" t="s">
        <v>21</v>
      </c>
      <c r="E322" t="s">
        <v>22</v>
      </c>
      <c r="F322" t="s">
        <v>73</v>
      </c>
      <c r="G322">
        <v>4.0999999999999996</v>
      </c>
      <c r="H322" t="str">
        <f t="shared" si="51"/>
        <v>Moderate Use</v>
      </c>
      <c r="I322" t="s">
        <v>41</v>
      </c>
      <c r="J322" t="s">
        <v>26</v>
      </c>
      <c r="K322">
        <v>7.8</v>
      </c>
      <c r="L322" t="str">
        <f t="shared" si="52"/>
        <v>Sufficient Sleep</v>
      </c>
      <c r="M322">
        <v>8</v>
      </c>
      <c r="N322" t="str">
        <f t="shared" si="53"/>
        <v>Sever</v>
      </c>
      <c r="O322" t="s">
        <v>20</v>
      </c>
      <c r="P322">
        <v>4</v>
      </c>
      <c r="Q322" t="str">
        <f t="shared" si="49"/>
        <v>Low</v>
      </c>
    </row>
    <row r="323" spans="1:17" hidden="1" x14ac:dyDescent="0.3">
      <c r="A323">
        <v>323</v>
      </c>
      <c r="B323">
        <v>20</v>
      </c>
      <c r="C323" t="str">
        <f t="shared" si="50"/>
        <v>Young Adult</v>
      </c>
      <c r="D323" t="s">
        <v>13</v>
      </c>
      <c r="E323" t="s">
        <v>14</v>
      </c>
      <c r="F323" t="s">
        <v>91</v>
      </c>
      <c r="G323">
        <v>5</v>
      </c>
      <c r="H323" t="str">
        <f t="shared" si="51"/>
        <v>Moderate Use</v>
      </c>
      <c r="I323" t="s">
        <v>17</v>
      </c>
      <c r="J323" t="s">
        <v>18</v>
      </c>
      <c r="K323">
        <v>7</v>
      </c>
      <c r="L323" t="str">
        <f t="shared" si="52"/>
        <v>Sufficient Sleep</v>
      </c>
      <c r="M323">
        <v>7</v>
      </c>
      <c r="N323" t="str">
        <f t="shared" si="53"/>
        <v>Sever</v>
      </c>
      <c r="O323" t="s">
        <v>28</v>
      </c>
      <c r="P323">
        <v>6</v>
      </c>
      <c r="Q323" t="str">
        <f t="shared" si="49"/>
        <v>Medium</v>
      </c>
    </row>
    <row r="324" spans="1:17" x14ac:dyDescent="0.3">
      <c r="A324">
        <v>324</v>
      </c>
      <c r="B324">
        <v>22</v>
      </c>
      <c r="C324" t="str">
        <f t="shared" si="50"/>
        <v>Young Adult</v>
      </c>
      <c r="D324" t="s">
        <v>21</v>
      </c>
      <c r="E324" t="s">
        <v>22</v>
      </c>
      <c r="F324" t="s">
        <v>23</v>
      </c>
      <c r="G324">
        <v>5.8</v>
      </c>
      <c r="H324" t="str">
        <f t="shared" si="51"/>
        <v>Moderate Use</v>
      </c>
      <c r="I324" t="s">
        <v>214</v>
      </c>
      <c r="J324" t="s">
        <v>18</v>
      </c>
      <c r="K324">
        <v>6.5</v>
      </c>
      <c r="L324" t="str">
        <f t="shared" si="52"/>
        <v>Severly Deficient Sleep</v>
      </c>
      <c r="M324">
        <v>5</v>
      </c>
      <c r="N324" t="str">
        <f t="shared" si="53"/>
        <v>Moderate</v>
      </c>
      <c r="O324" t="s">
        <v>20</v>
      </c>
      <c r="P324">
        <v>8</v>
      </c>
      <c r="Q324" t="str">
        <f>IF(P324&gt;=7,"High",IF(P324&gt;=6,"Medium","Low"))</f>
        <v>High</v>
      </c>
    </row>
    <row r="325" spans="1:17" hidden="1" x14ac:dyDescent="0.3">
      <c r="A325">
        <v>325</v>
      </c>
      <c r="B325">
        <v>19</v>
      </c>
      <c r="C325" t="str">
        <f t="shared" si="50"/>
        <v>Teenager</v>
      </c>
      <c r="D325" t="s">
        <v>13</v>
      </c>
      <c r="E325" t="s">
        <v>14</v>
      </c>
      <c r="F325" t="s">
        <v>81</v>
      </c>
      <c r="G325">
        <v>4</v>
      </c>
      <c r="H325" t="str">
        <f t="shared" si="51"/>
        <v>Moderate Use</v>
      </c>
      <c r="I325" t="s">
        <v>17</v>
      </c>
      <c r="J325" t="s">
        <v>26</v>
      </c>
      <c r="K325">
        <v>7.9</v>
      </c>
      <c r="L325" t="str">
        <f t="shared" si="52"/>
        <v>Sufficient Sleep</v>
      </c>
      <c r="M325">
        <v>8</v>
      </c>
      <c r="N325" t="str">
        <f t="shared" si="53"/>
        <v>Sever</v>
      </c>
      <c r="O325" t="s">
        <v>28</v>
      </c>
      <c r="P325">
        <v>4</v>
      </c>
      <c r="Q325" t="str">
        <f t="shared" si="49"/>
        <v>Low</v>
      </c>
    </row>
    <row r="326" spans="1:17" hidden="1" x14ac:dyDescent="0.3">
      <c r="A326">
        <v>326</v>
      </c>
      <c r="B326">
        <v>21</v>
      </c>
      <c r="C326" t="str">
        <f t="shared" si="50"/>
        <v>Young Adult</v>
      </c>
      <c r="D326" t="s">
        <v>21</v>
      </c>
      <c r="E326" t="s">
        <v>22</v>
      </c>
      <c r="F326" t="s">
        <v>109</v>
      </c>
      <c r="G326">
        <v>5.5</v>
      </c>
      <c r="H326" t="str">
        <f t="shared" si="51"/>
        <v>Moderate Use</v>
      </c>
      <c r="I326" t="s">
        <v>17</v>
      </c>
      <c r="J326" t="s">
        <v>18</v>
      </c>
      <c r="K326">
        <v>6.7</v>
      </c>
      <c r="L326" t="str">
        <f t="shared" si="52"/>
        <v>Severly Deficient Sleep</v>
      </c>
      <c r="M326">
        <v>6</v>
      </c>
      <c r="N326" t="str">
        <f t="shared" si="53"/>
        <v>Moderate</v>
      </c>
      <c r="O326" t="s">
        <v>28</v>
      </c>
      <c r="P326">
        <v>7</v>
      </c>
      <c r="Q326" t="str">
        <f t="shared" si="49"/>
        <v>High</v>
      </c>
    </row>
    <row r="327" spans="1:17" x14ac:dyDescent="0.3">
      <c r="A327">
        <v>327</v>
      </c>
      <c r="B327">
        <v>20</v>
      </c>
      <c r="C327" t="str">
        <f t="shared" si="50"/>
        <v>Young Adult</v>
      </c>
      <c r="D327" t="s">
        <v>13</v>
      </c>
      <c r="E327" t="s">
        <v>14</v>
      </c>
      <c r="F327" t="s">
        <v>29</v>
      </c>
      <c r="G327">
        <v>6.8</v>
      </c>
      <c r="H327" t="str">
        <f t="shared" si="51"/>
        <v>Heavy Use</v>
      </c>
      <c r="I327" t="s">
        <v>31</v>
      </c>
      <c r="J327" t="s">
        <v>18</v>
      </c>
      <c r="K327">
        <v>5.5</v>
      </c>
      <c r="L327" t="str">
        <f t="shared" si="52"/>
        <v>Severly Deficient Sleep</v>
      </c>
      <c r="M327">
        <v>5</v>
      </c>
      <c r="N327" t="str">
        <f t="shared" si="53"/>
        <v>Moderate</v>
      </c>
      <c r="O327" t="s">
        <v>20</v>
      </c>
      <c r="P327">
        <v>9</v>
      </c>
      <c r="Q327" t="str">
        <f>IF(P327&gt;=7,"High",IF(P327&gt;=6,"Medium","Low"))</f>
        <v>High</v>
      </c>
    </row>
    <row r="328" spans="1:17" hidden="1" x14ac:dyDescent="0.3">
      <c r="A328">
        <v>328</v>
      </c>
      <c r="B328">
        <v>22</v>
      </c>
      <c r="C328" t="str">
        <f t="shared" si="50"/>
        <v>Young Adult</v>
      </c>
      <c r="D328" t="s">
        <v>21</v>
      </c>
      <c r="E328" t="s">
        <v>22</v>
      </c>
      <c r="F328" t="s">
        <v>62</v>
      </c>
      <c r="G328">
        <v>5.6</v>
      </c>
      <c r="H328" t="str">
        <f t="shared" si="51"/>
        <v>Moderate Use</v>
      </c>
      <c r="I328" t="s">
        <v>214</v>
      </c>
      <c r="J328" t="s">
        <v>18</v>
      </c>
      <c r="K328">
        <v>6.6</v>
      </c>
      <c r="L328" t="str">
        <f t="shared" si="52"/>
        <v>Severly Deficient Sleep</v>
      </c>
      <c r="M328">
        <v>6</v>
      </c>
      <c r="N328" t="str">
        <f t="shared" si="53"/>
        <v>Moderate</v>
      </c>
      <c r="O328" t="s">
        <v>28</v>
      </c>
      <c r="P328">
        <v>7</v>
      </c>
      <c r="Q328" t="str">
        <f t="shared" si="49"/>
        <v>High</v>
      </c>
    </row>
    <row r="329" spans="1:17" x14ac:dyDescent="0.3">
      <c r="A329">
        <v>329</v>
      </c>
      <c r="B329">
        <v>19</v>
      </c>
      <c r="C329" t="str">
        <f t="shared" si="50"/>
        <v>Teenager</v>
      </c>
      <c r="D329" t="s">
        <v>13</v>
      </c>
      <c r="E329" t="s">
        <v>14</v>
      </c>
      <c r="F329" t="s">
        <v>55</v>
      </c>
      <c r="G329">
        <v>4.5</v>
      </c>
      <c r="H329" t="str">
        <f t="shared" si="51"/>
        <v>Moderate Use</v>
      </c>
      <c r="I329" t="s">
        <v>17</v>
      </c>
      <c r="J329" t="s">
        <v>26</v>
      </c>
      <c r="K329">
        <v>7.5</v>
      </c>
      <c r="L329" t="str">
        <f t="shared" si="52"/>
        <v>Sufficient Sleep</v>
      </c>
      <c r="M329">
        <v>7</v>
      </c>
      <c r="N329" t="str">
        <f t="shared" si="53"/>
        <v>Sever</v>
      </c>
      <c r="O329" t="s">
        <v>20</v>
      </c>
      <c r="P329">
        <v>5</v>
      </c>
      <c r="Q329" t="str">
        <f t="shared" ref="Q329:Q331" si="54">IF(P329&gt;=7,"High",IF(P329&gt;=6,"Medium","Low"))</f>
        <v>Low</v>
      </c>
    </row>
    <row r="330" spans="1:17" x14ac:dyDescent="0.3">
      <c r="A330">
        <v>330</v>
      </c>
      <c r="B330">
        <v>21</v>
      </c>
      <c r="C330" t="str">
        <f t="shared" si="50"/>
        <v>Young Adult</v>
      </c>
      <c r="D330" t="s">
        <v>21</v>
      </c>
      <c r="E330" t="s">
        <v>22</v>
      </c>
      <c r="F330" t="s">
        <v>39</v>
      </c>
      <c r="G330">
        <v>5.3</v>
      </c>
      <c r="H330" t="str">
        <f t="shared" si="51"/>
        <v>Moderate Use</v>
      </c>
      <c r="I330" t="s">
        <v>17</v>
      </c>
      <c r="J330" t="s">
        <v>18</v>
      </c>
      <c r="K330">
        <v>6.9</v>
      </c>
      <c r="L330" t="str">
        <f t="shared" si="52"/>
        <v>Severly Deficient Sleep</v>
      </c>
      <c r="M330">
        <v>6</v>
      </c>
      <c r="N330" t="str">
        <f t="shared" si="53"/>
        <v>Moderate</v>
      </c>
      <c r="O330" t="s">
        <v>28</v>
      </c>
      <c r="P330">
        <v>7</v>
      </c>
      <c r="Q330" t="str">
        <f t="shared" si="54"/>
        <v>High</v>
      </c>
    </row>
    <row r="331" spans="1:17" x14ac:dyDescent="0.3">
      <c r="A331">
        <v>331</v>
      </c>
      <c r="B331">
        <v>20</v>
      </c>
      <c r="C331" t="str">
        <f t="shared" si="50"/>
        <v>Young Adult</v>
      </c>
      <c r="D331" t="s">
        <v>13</v>
      </c>
      <c r="E331" t="s">
        <v>14</v>
      </c>
      <c r="F331" t="s">
        <v>58</v>
      </c>
      <c r="G331">
        <v>5.0999999999999996</v>
      </c>
      <c r="H331" t="str">
        <f t="shared" si="51"/>
        <v>Moderate Use</v>
      </c>
      <c r="I331" t="s">
        <v>31</v>
      </c>
      <c r="J331" t="s">
        <v>18</v>
      </c>
      <c r="K331">
        <v>6.7</v>
      </c>
      <c r="L331" t="str">
        <f t="shared" si="52"/>
        <v>Severly Deficient Sleep</v>
      </c>
      <c r="M331">
        <v>6</v>
      </c>
      <c r="N331" t="str">
        <f t="shared" si="53"/>
        <v>Moderate</v>
      </c>
      <c r="O331" t="s">
        <v>28</v>
      </c>
      <c r="P331">
        <v>7</v>
      </c>
      <c r="Q331" t="str">
        <f t="shared" si="54"/>
        <v>High</v>
      </c>
    </row>
    <row r="332" spans="1:17" hidden="1" x14ac:dyDescent="0.3">
      <c r="A332">
        <v>332</v>
      </c>
      <c r="B332">
        <v>22</v>
      </c>
      <c r="C332" t="str">
        <f t="shared" si="50"/>
        <v>Young Adult</v>
      </c>
      <c r="D332" t="s">
        <v>21</v>
      </c>
      <c r="E332" t="s">
        <v>22</v>
      </c>
      <c r="F332" t="s">
        <v>73</v>
      </c>
      <c r="G332">
        <v>3.9</v>
      </c>
      <c r="H332" t="str">
        <f t="shared" si="51"/>
        <v>Low Use</v>
      </c>
      <c r="I332" t="s">
        <v>41</v>
      </c>
      <c r="J332" t="s">
        <v>26</v>
      </c>
      <c r="K332">
        <v>7.9</v>
      </c>
      <c r="L332" t="str">
        <f t="shared" si="52"/>
        <v>Sufficient Sleep</v>
      </c>
      <c r="M332">
        <v>8</v>
      </c>
      <c r="N332" t="str">
        <f t="shared" si="53"/>
        <v>Sever</v>
      </c>
      <c r="O332" t="s">
        <v>20</v>
      </c>
      <c r="P332">
        <v>4</v>
      </c>
      <c r="Q332" t="str">
        <f t="shared" si="49"/>
        <v>Low</v>
      </c>
    </row>
    <row r="333" spans="1:17" hidden="1" x14ac:dyDescent="0.3">
      <c r="A333">
        <v>333</v>
      </c>
      <c r="B333">
        <v>19</v>
      </c>
      <c r="C333" t="str">
        <f t="shared" si="50"/>
        <v>Teenager</v>
      </c>
      <c r="D333" t="s">
        <v>13</v>
      </c>
      <c r="E333" t="s">
        <v>14</v>
      </c>
      <c r="F333" t="s">
        <v>91</v>
      </c>
      <c r="G333">
        <v>4.8</v>
      </c>
      <c r="H333" t="str">
        <f t="shared" si="51"/>
        <v>Moderate Use</v>
      </c>
      <c r="I333" t="s">
        <v>17</v>
      </c>
      <c r="J333" t="s">
        <v>18</v>
      </c>
      <c r="K333">
        <v>7.1</v>
      </c>
      <c r="L333" t="str">
        <f t="shared" si="52"/>
        <v>Sufficient Sleep</v>
      </c>
      <c r="M333">
        <v>7</v>
      </c>
      <c r="N333" t="str">
        <f t="shared" si="53"/>
        <v>Sever</v>
      </c>
      <c r="O333" t="s">
        <v>28</v>
      </c>
      <c r="P333">
        <v>6</v>
      </c>
      <c r="Q333" t="str">
        <f t="shared" si="49"/>
        <v>Medium</v>
      </c>
    </row>
    <row r="334" spans="1:17" x14ac:dyDescent="0.3">
      <c r="A334">
        <v>334</v>
      </c>
      <c r="B334">
        <v>21</v>
      </c>
      <c r="C334" t="str">
        <f t="shared" si="50"/>
        <v>Young Adult</v>
      </c>
      <c r="D334" t="s">
        <v>21</v>
      </c>
      <c r="E334" t="s">
        <v>22</v>
      </c>
      <c r="F334" t="s">
        <v>23</v>
      </c>
      <c r="G334">
        <v>5.9</v>
      </c>
      <c r="H334" t="str">
        <f t="shared" si="51"/>
        <v>Moderate Use</v>
      </c>
      <c r="I334" t="s">
        <v>214</v>
      </c>
      <c r="J334" t="s">
        <v>18</v>
      </c>
      <c r="K334">
        <v>6.4</v>
      </c>
      <c r="L334" t="str">
        <f t="shared" si="52"/>
        <v>Severly Deficient Sleep</v>
      </c>
      <c r="M334">
        <v>5</v>
      </c>
      <c r="N334" t="str">
        <f t="shared" si="53"/>
        <v>Moderate</v>
      </c>
      <c r="O334" t="s">
        <v>20</v>
      </c>
      <c r="P334">
        <v>8</v>
      </c>
      <c r="Q334" t="str">
        <f>IF(P334&gt;=7,"High",IF(P334&gt;=6,"Medium","Low"))</f>
        <v>High</v>
      </c>
    </row>
    <row r="335" spans="1:17" hidden="1" x14ac:dyDescent="0.3">
      <c r="A335">
        <v>335</v>
      </c>
      <c r="B335">
        <v>20</v>
      </c>
      <c r="C335" t="str">
        <f t="shared" si="50"/>
        <v>Young Adult</v>
      </c>
      <c r="D335" t="s">
        <v>13</v>
      </c>
      <c r="E335" t="s">
        <v>14</v>
      </c>
      <c r="F335" t="s">
        <v>81</v>
      </c>
      <c r="G335">
        <v>3.8</v>
      </c>
      <c r="H335" t="str">
        <f t="shared" si="51"/>
        <v>Low Use</v>
      </c>
      <c r="I335" t="s">
        <v>17</v>
      </c>
      <c r="J335" t="s">
        <v>26</v>
      </c>
      <c r="K335">
        <v>8</v>
      </c>
      <c r="L335" t="str">
        <f t="shared" si="52"/>
        <v>Sufficient Sleep</v>
      </c>
      <c r="M335">
        <v>8</v>
      </c>
      <c r="N335" t="str">
        <f t="shared" si="53"/>
        <v>Sever</v>
      </c>
      <c r="O335" t="s">
        <v>28</v>
      </c>
      <c r="P335">
        <v>4</v>
      </c>
      <c r="Q335" t="str">
        <f t="shared" si="49"/>
        <v>Low</v>
      </c>
    </row>
    <row r="336" spans="1:17" hidden="1" x14ac:dyDescent="0.3">
      <c r="A336">
        <v>336</v>
      </c>
      <c r="B336">
        <v>22</v>
      </c>
      <c r="C336" t="str">
        <f t="shared" si="50"/>
        <v>Young Adult</v>
      </c>
      <c r="D336" t="s">
        <v>21</v>
      </c>
      <c r="E336" t="s">
        <v>22</v>
      </c>
      <c r="F336" t="s">
        <v>109</v>
      </c>
      <c r="G336">
        <v>5.4</v>
      </c>
      <c r="H336" t="str">
        <f t="shared" si="51"/>
        <v>Moderate Use</v>
      </c>
      <c r="I336" t="s">
        <v>31</v>
      </c>
      <c r="J336" t="s">
        <v>18</v>
      </c>
      <c r="K336">
        <v>6.8</v>
      </c>
      <c r="L336" t="str">
        <f t="shared" si="52"/>
        <v>Severly Deficient Sleep</v>
      </c>
      <c r="M336">
        <v>6</v>
      </c>
      <c r="N336" t="str">
        <f t="shared" si="53"/>
        <v>Moderate</v>
      </c>
      <c r="O336" t="s">
        <v>28</v>
      </c>
      <c r="P336">
        <v>7</v>
      </c>
      <c r="Q336" t="str">
        <f t="shared" si="49"/>
        <v>High</v>
      </c>
    </row>
    <row r="337" spans="1:17" x14ac:dyDescent="0.3">
      <c r="A337">
        <v>337</v>
      </c>
      <c r="B337">
        <v>19</v>
      </c>
      <c r="C337" t="str">
        <f t="shared" si="50"/>
        <v>Teenager</v>
      </c>
      <c r="D337" t="s">
        <v>13</v>
      </c>
      <c r="E337" t="s">
        <v>14</v>
      </c>
      <c r="F337" t="s">
        <v>29</v>
      </c>
      <c r="G337">
        <v>6.9</v>
      </c>
      <c r="H337" t="str">
        <f t="shared" si="51"/>
        <v>Heavy Use</v>
      </c>
      <c r="I337" t="s">
        <v>17</v>
      </c>
      <c r="J337" t="s">
        <v>18</v>
      </c>
      <c r="K337">
        <v>5.4</v>
      </c>
      <c r="L337" t="str">
        <f t="shared" si="52"/>
        <v>Severly Deficient Sleep</v>
      </c>
      <c r="M337">
        <v>5</v>
      </c>
      <c r="N337" t="str">
        <f t="shared" si="53"/>
        <v>Moderate</v>
      </c>
      <c r="O337" t="s">
        <v>20</v>
      </c>
      <c r="P337">
        <v>9</v>
      </c>
      <c r="Q337" t="str">
        <f>IF(P337&gt;=7,"High",IF(P337&gt;=6,"Medium","Low"))</f>
        <v>High</v>
      </c>
    </row>
    <row r="338" spans="1:17" hidden="1" x14ac:dyDescent="0.3">
      <c r="A338">
        <v>338</v>
      </c>
      <c r="B338">
        <v>21</v>
      </c>
      <c r="C338" t="str">
        <f t="shared" si="50"/>
        <v>Young Adult</v>
      </c>
      <c r="D338" t="s">
        <v>21</v>
      </c>
      <c r="E338" t="s">
        <v>22</v>
      </c>
      <c r="F338" t="s">
        <v>62</v>
      </c>
      <c r="G338">
        <v>5.7</v>
      </c>
      <c r="H338" t="str">
        <f t="shared" si="51"/>
        <v>Moderate Use</v>
      </c>
      <c r="I338" t="s">
        <v>214</v>
      </c>
      <c r="J338" t="s">
        <v>18</v>
      </c>
      <c r="K338">
        <v>6.5</v>
      </c>
      <c r="L338" t="str">
        <f t="shared" si="52"/>
        <v>Severly Deficient Sleep</v>
      </c>
      <c r="M338">
        <v>6</v>
      </c>
      <c r="N338" t="str">
        <f t="shared" si="53"/>
        <v>Moderate</v>
      </c>
      <c r="O338" t="s">
        <v>28</v>
      </c>
      <c r="P338">
        <v>7</v>
      </c>
      <c r="Q338" t="str">
        <f t="shared" si="49"/>
        <v>High</v>
      </c>
    </row>
    <row r="339" spans="1:17" x14ac:dyDescent="0.3">
      <c r="A339">
        <v>339</v>
      </c>
      <c r="B339">
        <v>20</v>
      </c>
      <c r="C339" t="str">
        <f t="shared" si="50"/>
        <v>Young Adult</v>
      </c>
      <c r="D339" t="s">
        <v>13</v>
      </c>
      <c r="E339" t="s">
        <v>14</v>
      </c>
      <c r="F339" t="s">
        <v>55</v>
      </c>
      <c r="G339">
        <v>4.4000000000000004</v>
      </c>
      <c r="H339" t="str">
        <f t="shared" si="51"/>
        <v>Moderate Use</v>
      </c>
      <c r="I339" t="s">
        <v>17</v>
      </c>
      <c r="J339" t="s">
        <v>26</v>
      </c>
      <c r="K339">
        <v>7.6</v>
      </c>
      <c r="L339" t="str">
        <f t="shared" si="52"/>
        <v>Sufficient Sleep</v>
      </c>
      <c r="M339">
        <v>7</v>
      </c>
      <c r="N339" t="str">
        <f t="shared" si="53"/>
        <v>Sever</v>
      </c>
      <c r="O339" t="s">
        <v>20</v>
      </c>
      <c r="P339">
        <v>5</v>
      </c>
      <c r="Q339" t="str">
        <f t="shared" ref="Q339:Q341" si="55">IF(P339&gt;=7,"High",IF(P339&gt;=6,"Medium","Low"))</f>
        <v>Low</v>
      </c>
    </row>
    <row r="340" spans="1:17" x14ac:dyDescent="0.3">
      <c r="A340">
        <v>340</v>
      </c>
      <c r="B340">
        <v>22</v>
      </c>
      <c r="C340" t="str">
        <f t="shared" si="50"/>
        <v>Young Adult</v>
      </c>
      <c r="D340" t="s">
        <v>21</v>
      </c>
      <c r="E340" t="s">
        <v>22</v>
      </c>
      <c r="F340" t="s">
        <v>39</v>
      </c>
      <c r="G340">
        <v>5.2</v>
      </c>
      <c r="H340" t="str">
        <f t="shared" si="51"/>
        <v>Moderate Use</v>
      </c>
      <c r="I340" t="s">
        <v>31</v>
      </c>
      <c r="J340" t="s">
        <v>18</v>
      </c>
      <c r="K340">
        <v>7</v>
      </c>
      <c r="L340" t="str">
        <f t="shared" si="52"/>
        <v>Sufficient Sleep</v>
      </c>
      <c r="M340">
        <v>6</v>
      </c>
      <c r="N340" t="str">
        <f t="shared" si="53"/>
        <v>Moderate</v>
      </c>
      <c r="O340" t="s">
        <v>28</v>
      </c>
      <c r="P340">
        <v>7</v>
      </c>
      <c r="Q340" t="str">
        <f t="shared" si="55"/>
        <v>High</v>
      </c>
    </row>
    <row r="341" spans="1:17" x14ac:dyDescent="0.3">
      <c r="A341">
        <v>341</v>
      </c>
      <c r="B341">
        <v>19</v>
      </c>
      <c r="C341" t="str">
        <f t="shared" si="50"/>
        <v>Teenager</v>
      </c>
      <c r="D341" t="s">
        <v>13</v>
      </c>
      <c r="E341" t="s">
        <v>14</v>
      </c>
      <c r="F341" t="s">
        <v>58</v>
      </c>
      <c r="G341">
        <v>5</v>
      </c>
      <c r="H341" t="str">
        <f t="shared" si="51"/>
        <v>Moderate Use</v>
      </c>
      <c r="I341" t="s">
        <v>17</v>
      </c>
      <c r="J341" t="s">
        <v>18</v>
      </c>
      <c r="K341">
        <v>6.9</v>
      </c>
      <c r="L341" t="str">
        <f t="shared" si="52"/>
        <v>Severly Deficient Sleep</v>
      </c>
      <c r="M341">
        <v>6</v>
      </c>
      <c r="N341" t="str">
        <f t="shared" si="53"/>
        <v>Moderate</v>
      </c>
      <c r="O341" t="s">
        <v>28</v>
      </c>
      <c r="P341">
        <v>7</v>
      </c>
      <c r="Q341" t="str">
        <f t="shared" si="55"/>
        <v>High</v>
      </c>
    </row>
    <row r="342" spans="1:17" hidden="1" x14ac:dyDescent="0.3">
      <c r="A342">
        <v>342</v>
      </c>
      <c r="B342">
        <v>21</v>
      </c>
      <c r="C342" t="str">
        <f t="shared" si="50"/>
        <v>Young Adult</v>
      </c>
      <c r="D342" t="s">
        <v>21</v>
      </c>
      <c r="E342" t="s">
        <v>22</v>
      </c>
      <c r="F342" t="s">
        <v>73</v>
      </c>
      <c r="G342">
        <v>3.8</v>
      </c>
      <c r="H342" t="str">
        <f t="shared" si="51"/>
        <v>Low Use</v>
      </c>
      <c r="I342" t="s">
        <v>41</v>
      </c>
      <c r="J342" t="s">
        <v>26</v>
      </c>
      <c r="K342">
        <v>8</v>
      </c>
      <c r="L342" t="str">
        <f t="shared" si="52"/>
        <v>Sufficient Sleep</v>
      </c>
      <c r="M342">
        <v>8</v>
      </c>
      <c r="N342" t="str">
        <f t="shared" si="53"/>
        <v>Sever</v>
      </c>
      <c r="O342" t="s">
        <v>20</v>
      </c>
      <c r="P342">
        <v>4</v>
      </c>
      <c r="Q342" t="str">
        <f t="shared" si="49"/>
        <v>Low</v>
      </c>
    </row>
    <row r="343" spans="1:17" hidden="1" x14ac:dyDescent="0.3">
      <c r="A343">
        <v>343</v>
      </c>
      <c r="B343">
        <v>20</v>
      </c>
      <c r="C343" t="str">
        <f t="shared" si="50"/>
        <v>Young Adult</v>
      </c>
      <c r="D343" t="s">
        <v>13</v>
      </c>
      <c r="E343" t="s">
        <v>14</v>
      </c>
      <c r="F343" t="s">
        <v>91</v>
      </c>
      <c r="G343">
        <v>4.7</v>
      </c>
      <c r="H343" t="str">
        <f t="shared" si="51"/>
        <v>Moderate Use</v>
      </c>
      <c r="I343" t="s">
        <v>31</v>
      </c>
      <c r="J343" t="s">
        <v>18</v>
      </c>
      <c r="K343">
        <v>7.2</v>
      </c>
      <c r="L343" t="str">
        <f t="shared" si="52"/>
        <v>Sufficient Sleep</v>
      </c>
      <c r="M343">
        <v>7</v>
      </c>
      <c r="N343" t="str">
        <f t="shared" si="53"/>
        <v>Sever</v>
      </c>
      <c r="O343" t="s">
        <v>28</v>
      </c>
      <c r="P343">
        <v>6</v>
      </c>
      <c r="Q343" t="str">
        <f t="shared" si="49"/>
        <v>Medium</v>
      </c>
    </row>
    <row r="344" spans="1:17" x14ac:dyDescent="0.3">
      <c r="A344">
        <v>344</v>
      </c>
      <c r="B344">
        <v>22</v>
      </c>
      <c r="C344" t="str">
        <f t="shared" si="50"/>
        <v>Young Adult</v>
      </c>
      <c r="D344" t="s">
        <v>21</v>
      </c>
      <c r="E344" t="s">
        <v>22</v>
      </c>
      <c r="F344" t="s">
        <v>23</v>
      </c>
      <c r="G344">
        <v>6</v>
      </c>
      <c r="H344" t="str">
        <f t="shared" si="51"/>
        <v>Heavy Use</v>
      </c>
      <c r="I344" t="s">
        <v>214</v>
      </c>
      <c r="J344" t="s">
        <v>18</v>
      </c>
      <c r="K344">
        <v>6.3</v>
      </c>
      <c r="L344" t="str">
        <f t="shared" si="52"/>
        <v>Severly Deficient Sleep</v>
      </c>
      <c r="M344">
        <v>5</v>
      </c>
      <c r="N344" t="str">
        <f t="shared" si="53"/>
        <v>Moderate</v>
      </c>
      <c r="O344" t="s">
        <v>20</v>
      </c>
      <c r="P344">
        <v>8</v>
      </c>
      <c r="Q344" t="str">
        <f>IF(P344&gt;=7,"High",IF(P344&gt;=6,"Medium","Low"))</f>
        <v>High</v>
      </c>
    </row>
    <row r="345" spans="1:17" hidden="1" x14ac:dyDescent="0.3">
      <c r="A345">
        <v>345</v>
      </c>
      <c r="B345">
        <v>19</v>
      </c>
      <c r="C345" t="str">
        <f t="shared" si="50"/>
        <v>Teenager</v>
      </c>
      <c r="D345" t="s">
        <v>13</v>
      </c>
      <c r="E345" t="s">
        <v>14</v>
      </c>
      <c r="F345" t="s">
        <v>81</v>
      </c>
      <c r="G345">
        <v>3.7</v>
      </c>
      <c r="H345" t="str">
        <f t="shared" si="51"/>
        <v>Low Use</v>
      </c>
      <c r="I345" t="s">
        <v>17</v>
      </c>
      <c r="J345" t="s">
        <v>26</v>
      </c>
      <c r="K345">
        <v>8.1</v>
      </c>
      <c r="L345" t="str">
        <f t="shared" si="52"/>
        <v>Sufficient Sleep</v>
      </c>
      <c r="M345">
        <v>8</v>
      </c>
      <c r="N345" t="str">
        <f t="shared" si="53"/>
        <v>Sever</v>
      </c>
      <c r="O345" t="s">
        <v>28</v>
      </c>
      <c r="P345">
        <v>4</v>
      </c>
      <c r="Q345" t="str">
        <f t="shared" si="49"/>
        <v>Low</v>
      </c>
    </row>
    <row r="346" spans="1:17" hidden="1" x14ac:dyDescent="0.3">
      <c r="A346">
        <v>346</v>
      </c>
      <c r="B346">
        <v>21</v>
      </c>
      <c r="C346" t="str">
        <f t="shared" si="50"/>
        <v>Young Adult</v>
      </c>
      <c r="D346" t="s">
        <v>21</v>
      </c>
      <c r="E346" t="s">
        <v>22</v>
      </c>
      <c r="F346" t="s">
        <v>109</v>
      </c>
      <c r="G346">
        <v>5.3</v>
      </c>
      <c r="H346" t="str">
        <f t="shared" si="51"/>
        <v>Moderate Use</v>
      </c>
      <c r="I346" t="s">
        <v>17</v>
      </c>
      <c r="J346" t="s">
        <v>18</v>
      </c>
      <c r="K346">
        <v>6.9</v>
      </c>
      <c r="L346" t="str">
        <f t="shared" si="52"/>
        <v>Severly Deficient Sleep</v>
      </c>
      <c r="M346">
        <v>6</v>
      </c>
      <c r="N346" t="str">
        <f t="shared" si="53"/>
        <v>Moderate</v>
      </c>
      <c r="O346" t="s">
        <v>28</v>
      </c>
      <c r="P346">
        <v>7</v>
      </c>
      <c r="Q346" t="str">
        <f t="shared" si="49"/>
        <v>High</v>
      </c>
    </row>
    <row r="347" spans="1:17" x14ac:dyDescent="0.3">
      <c r="A347">
        <v>347</v>
      </c>
      <c r="B347">
        <v>20</v>
      </c>
      <c r="C347" t="str">
        <f t="shared" si="50"/>
        <v>Young Adult</v>
      </c>
      <c r="D347" t="s">
        <v>13</v>
      </c>
      <c r="E347" t="s">
        <v>14</v>
      </c>
      <c r="F347" t="s">
        <v>29</v>
      </c>
      <c r="G347">
        <v>7</v>
      </c>
      <c r="H347" t="str">
        <f t="shared" si="51"/>
        <v>Heavy Use</v>
      </c>
      <c r="I347" t="s">
        <v>31</v>
      </c>
      <c r="J347" t="s">
        <v>18</v>
      </c>
      <c r="K347">
        <v>5.3</v>
      </c>
      <c r="L347" t="str">
        <f t="shared" si="52"/>
        <v>Severly Deficient Sleep</v>
      </c>
      <c r="M347">
        <v>5</v>
      </c>
      <c r="N347" t="str">
        <f t="shared" si="53"/>
        <v>Moderate</v>
      </c>
      <c r="O347" t="s">
        <v>20</v>
      </c>
      <c r="P347">
        <v>9</v>
      </c>
      <c r="Q347" t="str">
        <f>IF(P347&gt;=7,"High",IF(P347&gt;=6,"Medium","Low"))</f>
        <v>High</v>
      </c>
    </row>
    <row r="348" spans="1:17" hidden="1" x14ac:dyDescent="0.3">
      <c r="A348">
        <v>348</v>
      </c>
      <c r="B348">
        <v>22</v>
      </c>
      <c r="C348" t="str">
        <f t="shared" si="50"/>
        <v>Young Adult</v>
      </c>
      <c r="D348" t="s">
        <v>21</v>
      </c>
      <c r="E348" t="s">
        <v>22</v>
      </c>
      <c r="F348" t="s">
        <v>62</v>
      </c>
      <c r="G348">
        <v>5.8</v>
      </c>
      <c r="H348" t="str">
        <f t="shared" si="51"/>
        <v>Moderate Use</v>
      </c>
      <c r="I348" t="s">
        <v>214</v>
      </c>
      <c r="J348" t="s">
        <v>18</v>
      </c>
      <c r="K348">
        <v>6.4</v>
      </c>
      <c r="L348" t="str">
        <f t="shared" si="52"/>
        <v>Severly Deficient Sleep</v>
      </c>
      <c r="M348">
        <v>6</v>
      </c>
      <c r="N348" t="str">
        <f t="shared" si="53"/>
        <v>Moderate</v>
      </c>
      <c r="O348" t="s">
        <v>28</v>
      </c>
      <c r="P348">
        <v>7</v>
      </c>
      <c r="Q348" t="str">
        <f t="shared" si="49"/>
        <v>High</v>
      </c>
    </row>
    <row r="349" spans="1:17" x14ac:dyDescent="0.3">
      <c r="A349">
        <v>349</v>
      </c>
      <c r="B349">
        <v>19</v>
      </c>
      <c r="C349" t="str">
        <f t="shared" si="50"/>
        <v>Teenager</v>
      </c>
      <c r="D349" t="s">
        <v>13</v>
      </c>
      <c r="E349" t="s">
        <v>14</v>
      </c>
      <c r="F349" t="s">
        <v>55</v>
      </c>
      <c r="G349">
        <v>4.3</v>
      </c>
      <c r="H349" t="str">
        <f t="shared" si="51"/>
        <v>Moderate Use</v>
      </c>
      <c r="I349" t="s">
        <v>17</v>
      </c>
      <c r="J349" t="s">
        <v>26</v>
      </c>
      <c r="K349">
        <v>7.7</v>
      </c>
      <c r="L349" t="str">
        <f t="shared" si="52"/>
        <v>Sufficient Sleep</v>
      </c>
      <c r="M349">
        <v>7</v>
      </c>
      <c r="N349" t="str">
        <f t="shared" si="53"/>
        <v>Sever</v>
      </c>
      <c r="O349" t="s">
        <v>20</v>
      </c>
      <c r="P349">
        <v>5</v>
      </c>
      <c r="Q349" t="str">
        <f t="shared" ref="Q349:Q351" si="56">IF(P349&gt;=7,"High",IF(P349&gt;=6,"Medium","Low"))</f>
        <v>Low</v>
      </c>
    </row>
    <row r="350" spans="1:17" x14ac:dyDescent="0.3">
      <c r="A350">
        <v>350</v>
      </c>
      <c r="B350">
        <v>21</v>
      </c>
      <c r="C350" t="str">
        <f t="shared" si="50"/>
        <v>Young Adult</v>
      </c>
      <c r="D350" t="s">
        <v>21</v>
      </c>
      <c r="E350" t="s">
        <v>22</v>
      </c>
      <c r="F350" t="s">
        <v>39</v>
      </c>
      <c r="G350">
        <v>5.0999999999999996</v>
      </c>
      <c r="H350" t="str">
        <f t="shared" si="51"/>
        <v>Moderate Use</v>
      </c>
      <c r="I350" t="s">
        <v>17</v>
      </c>
      <c r="J350" t="s">
        <v>18</v>
      </c>
      <c r="K350">
        <v>7.1</v>
      </c>
      <c r="L350" t="str">
        <f t="shared" si="52"/>
        <v>Sufficient Sleep</v>
      </c>
      <c r="M350">
        <v>6</v>
      </c>
      <c r="N350" t="str">
        <f t="shared" si="53"/>
        <v>Moderate</v>
      </c>
      <c r="O350" t="s">
        <v>28</v>
      </c>
      <c r="P350">
        <v>7</v>
      </c>
      <c r="Q350" t="str">
        <f t="shared" si="56"/>
        <v>High</v>
      </c>
    </row>
    <row r="351" spans="1:17" x14ac:dyDescent="0.3">
      <c r="A351">
        <v>351</v>
      </c>
      <c r="B351">
        <v>20</v>
      </c>
      <c r="C351" t="str">
        <f t="shared" si="50"/>
        <v>Young Adult</v>
      </c>
      <c r="D351" t="s">
        <v>13</v>
      </c>
      <c r="E351" t="s">
        <v>14</v>
      </c>
      <c r="F351" t="s">
        <v>58</v>
      </c>
      <c r="G351">
        <v>4.9000000000000004</v>
      </c>
      <c r="H351" t="str">
        <f t="shared" si="51"/>
        <v>Moderate Use</v>
      </c>
      <c r="I351" t="s">
        <v>31</v>
      </c>
      <c r="J351" t="s">
        <v>18</v>
      </c>
      <c r="K351">
        <v>7</v>
      </c>
      <c r="L351" t="str">
        <f t="shared" si="52"/>
        <v>Sufficient Sleep</v>
      </c>
      <c r="M351">
        <v>6</v>
      </c>
      <c r="N351" t="str">
        <f t="shared" si="53"/>
        <v>Moderate</v>
      </c>
      <c r="O351" t="s">
        <v>28</v>
      </c>
      <c r="P351">
        <v>7</v>
      </c>
      <c r="Q351" t="str">
        <f t="shared" si="56"/>
        <v>High</v>
      </c>
    </row>
    <row r="352" spans="1:17" hidden="1" x14ac:dyDescent="0.3">
      <c r="A352">
        <v>352</v>
      </c>
      <c r="B352">
        <v>22</v>
      </c>
      <c r="C352" t="str">
        <f t="shared" si="50"/>
        <v>Young Adult</v>
      </c>
      <c r="D352" t="s">
        <v>21</v>
      </c>
      <c r="E352" t="s">
        <v>22</v>
      </c>
      <c r="F352" t="s">
        <v>73</v>
      </c>
      <c r="G352">
        <v>3.7</v>
      </c>
      <c r="H352" t="str">
        <f t="shared" si="51"/>
        <v>Low Use</v>
      </c>
      <c r="I352" t="s">
        <v>41</v>
      </c>
      <c r="J352" t="s">
        <v>26</v>
      </c>
      <c r="K352">
        <v>8.1</v>
      </c>
      <c r="L352" t="str">
        <f t="shared" si="52"/>
        <v>Sufficient Sleep</v>
      </c>
      <c r="M352">
        <v>8</v>
      </c>
      <c r="N352" t="str">
        <f t="shared" si="53"/>
        <v>Sever</v>
      </c>
      <c r="O352" t="s">
        <v>20</v>
      </c>
      <c r="P352">
        <v>4</v>
      </c>
      <c r="Q352" t="str">
        <f t="shared" si="49"/>
        <v>Low</v>
      </c>
    </row>
    <row r="353" spans="1:17" hidden="1" x14ac:dyDescent="0.3">
      <c r="A353">
        <v>353</v>
      </c>
      <c r="B353">
        <v>19</v>
      </c>
      <c r="C353" t="str">
        <f t="shared" si="50"/>
        <v>Teenager</v>
      </c>
      <c r="D353" t="s">
        <v>13</v>
      </c>
      <c r="E353" t="s">
        <v>14</v>
      </c>
      <c r="F353" t="s">
        <v>91</v>
      </c>
      <c r="G353">
        <v>4.5999999999999996</v>
      </c>
      <c r="H353" t="str">
        <f t="shared" si="51"/>
        <v>Moderate Use</v>
      </c>
      <c r="I353" t="s">
        <v>17</v>
      </c>
      <c r="J353" t="s">
        <v>18</v>
      </c>
      <c r="K353">
        <v>7.3</v>
      </c>
      <c r="L353" t="str">
        <f t="shared" si="52"/>
        <v>Sufficient Sleep</v>
      </c>
      <c r="M353">
        <v>7</v>
      </c>
      <c r="N353" t="str">
        <f t="shared" si="53"/>
        <v>Sever</v>
      </c>
      <c r="O353" t="s">
        <v>28</v>
      </c>
      <c r="P353">
        <v>6</v>
      </c>
      <c r="Q353" t="str">
        <f t="shared" si="49"/>
        <v>Medium</v>
      </c>
    </row>
    <row r="354" spans="1:17" x14ac:dyDescent="0.3">
      <c r="A354">
        <v>354</v>
      </c>
      <c r="B354">
        <v>21</v>
      </c>
      <c r="C354" t="str">
        <f t="shared" si="50"/>
        <v>Young Adult</v>
      </c>
      <c r="D354" t="s">
        <v>21</v>
      </c>
      <c r="E354" t="s">
        <v>22</v>
      </c>
      <c r="F354" t="s">
        <v>23</v>
      </c>
      <c r="G354">
        <v>6.1</v>
      </c>
      <c r="H354" t="str">
        <f t="shared" si="51"/>
        <v>Heavy Use</v>
      </c>
      <c r="I354" t="s">
        <v>214</v>
      </c>
      <c r="J354" t="s">
        <v>18</v>
      </c>
      <c r="K354">
        <v>6.2</v>
      </c>
      <c r="L354" t="str">
        <f t="shared" si="52"/>
        <v>Severly Deficient Sleep</v>
      </c>
      <c r="M354">
        <v>5</v>
      </c>
      <c r="N354" t="str">
        <f t="shared" si="53"/>
        <v>Moderate</v>
      </c>
      <c r="O354" t="s">
        <v>20</v>
      </c>
      <c r="P354">
        <v>8</v>
      </c>
      <c r="Q354" t="str">
        <f>IF(P354&gt;=7,"High",IF(P354&gt;=6,"Medium","Low"))</f>
        <v>High</v>
      </c>
    </row>
    <row r="355" spans="1:17" hidden="1" x14ac:dyDescent="0.3">
      <c r="A355">
        <v>355</v>
      </c>
      <c r="B355">
        <v>20</v>
      </c>
      <c r="C355" t="str">
        <f t="shared" si="50"/>
        <v>Young Adult</v>
      </c>
      <c r="D355" t="s">
        <v>13</v>
      </c>
      <c r="E355" t="s">
        <v>14</v>
      </c>
      <c r="F355" t="s">
        <v>81</v>
      </c>
      <c r="G355">
        <v>3.6</v>
      </c>
      <c r="H355" t="str">
        <f t="shared" si="51"/>
        <v>Low Use</v>
      </c>
      <c r="I355" t="s">
        <v>17</v>
      </c>
      <c r="J355" t="s">
        <v>26</v>
      </c>
      <c r="K355">
        <v>8.1999999999999993</v>
      </c>
      <c r="L355" t="str">
        <f t="shared" si="52"/>
        <v>Sufficient Sleep</v>
      </c>
      <c r="M355">
        <v>8</v>
      </c>
      <c r="N355" t="str">
        <f t="shared" si="53"/>
        <v>Sever</v>
      </c>
      <c r="O355" t="s">
        <v>28</v>
      </c>
      <c r="P355">
        <v>4</v>
      </c>
      <c r="Q355" t="str">
        <f t="shared" si="49"/>
        <v>Low</v>
      </c>
    </row>
    <row r="356" spans="1:17" hidden="1" x14ac:dyDescent="0.3">
      <c r="A356">
        <v>356</v>
      </c>
      <c r="B356">
        <v>22</v>
      </c>
      <c r="C356" t="str">
        <f t="shared" si="50"/>
        <v>Young Adult</v>
      </c>
      <c r="D356" t="s">
        <v>21</v>
      </c>
      <c r="E356" t="s">
        <v>22</v>
      </c>
      <c r="F356" t="s">
        <v>109</v>
      </c>
      <c r="G356">
        <v>5.2</v>
      </c>
      <c r="H356" t="str">
        <f t="shared" si="51"/>
        <v>Moderate Use</v>
      </c>
      <c r="I356" t="s">
        <v>31</v>
      </c>
      <c r="J356" t="s">
        <v>18</v>
      </c>
      <c r="K356">
        <v>7</v>
      </c>
      <c r="L356" t="str">
        <f t="shared" si="52"/>
        <v>Sufficient Sleep</v>
      </c>
      <c r="M356">
        <v>6</v>
      </c>
      <c r="N356" t="str">
        <f t="shared" si="53"/>
        <v>Moderate</v>
      </c>
      <c r="O356" t="s">
        <v>28</v>
      </c>
      <c r="P356">
        <v>7</v>
      </c>
      <c r="Q356" t="str">
        <f t="shared" si="49"/>
        <v>High</v>
      </c>
    </row>
    <row r="357" spans="1:17" x14ac:dyDescent="0.3">
      <c r="A357">
        <v>357</v>
      </c>
      <c r="B357">
        <v>19</v>
      </c>
      <c r="C357" t="str">
        <f t="shared" si="50"/>
        <v>Teenager</v>
      </c>
      <c r="D357" t="s">
        <v>13</v>
      </c>
      <c r="E357" t="s">
        <v>14</v>
      </c>
      <c r="F357" t="s">
        <v>29</v>
      </c>
      <c r="G357">
        <v>7.1</v>
      </c>
      <c r="H357" t="str">
        <f t="shared" si="51"/>
        <v>Heavy Use</v>
      </c>
      <c r="I357" t="s">
        <v>17</v>
      </c>
      <c r="J357" t="s">
        <v>18</v>
      </c>
      <c r="K357">
        <v>5.2</v>
      </c>
      <c r="L357" t="str">
        <f t="shared" si="52"/>
        <v>Severly Deficient Sleep</v>
      </c>
      <c r="M357">
        <v>5</v>
      </c>
      <c r="N357" t="str">
        <f t="shared" si="53"/>
        <v>Moderate</v>
      </c>
      <c r="O357" t="s">
        <v>20</v>
      </c>
      <c r="P357">
        <v>9</v>
      </c>
      <c r="Q357" t="str">
        <f>IF(P357&gt;=7,"High",IF(P357&gt;=6,"Medium","Low"))</f>
        <v>High</v>
      </c>
    </row>
    <row r="358" spans="1:17" hidden="1" x14ac:dyDescent="0.3">
      <c r="A358">
        <v>358</v>
      </c>
      <c r="B358">
        <v>21</v>
      </c>
      <c r="C358" t="str">
        <f t="shared" si="50"/>
        <v>Young Adult</v>
      </c>
      <c r="D358" t="s">
        <v>21</v>
      </c>
      <c r="E358" t="s">
        <v>22</v>
      </c>
      <c r="F358" t="s">
        <v>62</v>
      </c>
      <c r="G358">
        <v>5.9</v>
      </c>
      <c r="H358" t="str">
        <f t="shared" si="51"/>
        <v>Moderate Use</v>
      </c>
      <c r="I358" t="s">
        <v>214</v>
      </c>
      <c r="J358" t="s">
        <v>18</v>
      </c>
      <c r="K358">
        <v>6.3</v>
      </c>
      <c r="L358" t="str">
        <f t="shared" si="52"/>
        <v>Severly Deficient Sleep</v>
      </c>
      <c r="M358">
        <v>6</v>
      </c>
      <c r="N358" t="str">
        <f t="shared" si="53"/>
        <v>Moderate</v>
      </c>
      <c r="O358" t="s">
        <v>28</v>
      </c>
      <c r="P358">
        <v>7</v>
      </c>
      <c r="Q358" t="str">
        <f t="shared" si="49"/>
        <v>High</v>
      </c>
    </row>
    <row r="359" spans="1:17" x14ac:dyDescent="0.3">
      <c r="A359">
        <v>359</v>
      </c>
      <c r="B359">
        <v>20</v>
      </c>
      <c r="C359" t="str">
        <f t="shared" si="50"/>
        <v>Young Adult</v>
      </c>
      <c r="D359" t="s">
        <v>13</v>
      </c>
      <c r="E359" t="s">
        <v>14</v>
      </c>
      <c r="F359" t="s">
        <v>55</v>
      </c>
      <c r="G359">
        <v>4.2</v>
      </c>
      <c r="H359" t="str">
        <f t="shared" si="51"/>
        <v>Moderate Use</v>
      </c>
      <c r="I359" t="s">
        <v>17</v>
      </c>
      <c r="J359" t="s">
        <v>26</v>
      </c>
      <c r="K359">
        <v>7.8</v>
      </c>
      <c r="L359" t="str">
        <f t="shared" si="52"/>
        <v>Sufficient Sleep</v>
      </c>
      <c r="M359">
        <v>7</v>
      </c>
      <c r="N359" t="str">
        <f t="shared" si="53"/>
        <v>Sever</v>
      </c>
      <c r="O359" t="s">
        <v>20</v>
      </c>
      <c r="P359">
        <v>5</v>
      </c>
      <c r="Q359" t="str">
        <f t="shared" ref="Q359:Q361" si="57">IF(P359&gt;=7,"High",IF(P359&gt;=6,"Medium","Low"))</f>
        <v>Low</v>
      </c>
    </row>
    <row r="360" spans="1:17" x14ac:dyDescent="0.3">
      <c r="A360">
        <v>360</v>
      </c>
      <c r="B360">
        <v>22</v>
      </c>
      <c r="C360" t="str">
        <f t="shared" si="50"/>
        <v>Young Adult</v>
      </c>
      <c r="D360" t="s">
        <v>21</v>
      </c>
      <c r="E360" t="s">
        <v>22</v>
      </c>
      <c r="F360" t="s">
        <v>39</v>
      </c>
      <c r="G360">
        <v>5</v>
      </c>
      <c r="H360" t="str">
        <f t="shared" si="51"/>
        <v>Moderate Use</v>
      </c>
      <c r="I360" t="s">
        <v>31</v>
      </c>
      <c r="J360" t="s">
        <v>18</v>
      </c>
      <c r="K360">
        <v>7.2</v>
      </c>
      <c r="L360" t="str">
        <f t="shared" si="52"/>
        <v>Sufficient Sleep</v>
      </c>
      <c r="M360">
        <v>6</v>
      </c>
      <c r="N360" t="str">
        <f t="shared" si="53"/>
        <v>Moderate</v>
      </c>
      <c r="O360" t="s">
        <v>28</v>
      </c>
      <c r="P360">
        <v>7</v>
      </c>
      <c r="Q360" t="str">
        <f t="shared" si="57"/>
        <v>High</v>
      </c>
    </row>
    <row r="361" spans="1:17" x14ac:dyDescent="0.3">
      <c r="A361">
        <v>361</v>
      </c>
      <c r="B361">
        <v>19</v>
      </c>
      <c r="C361" t="str">
        <f t="shared" si="50"/>
        <v>Teenager</v>
      </c>
      <c r="D361" t="s">
        <v>13</v>
      </c>
      <c r="E361" t="s">
        <v>14</v>
      </c>
      <c r="F361" t="s">
        <v>58</v>
      </c>
      <c r="G361">
        <v>4.8</v>
      </c>
      <c r="H361" t="str">
        <f t="shared" si="51"/>
        <v>Moderate Use</v>
      </c>
      <c r="I361" t="s">
        <v>17</v>
      </c>
      <c r="J361" t="s">
        <v>18</v>
      </c>
      <c r="K361">
        <v>7.1</v>
      </c>
      <c r="L361" t="str">
        <f t="shared" si="52"/>
        <v>Sufficient Sleep</v>
      </c>
      <c r="M361">
        <v>6</v>
      </c>
      <c r="N361" t="str">
        <f t="shared" si="53"/>
        <v>Moderate</v>
      </c>
      <c r="O361" t="s">
        <v>28</v>
      </c>
      <c r="P361">
        <v>7</v>
      </c>
      <c r="Q361" t="str">
        <f t="shared" si="57"/>
        <v>High</v>
      </c>
    </row>
    <row r="362" spans="1:17" hidden="1" x14ac:dyDescent="0.3">
      <c r="A362">
        <v>362</v>
      </c>
      <c r="B362">
        <v>21</v>
      </c>
      <c r="C362" t="str">
        <f t="shared" si="50"/>
        <v>Young Adult</v>
      </c>
      <c r="D362" t="s">
        <v>21</v>
      </c>
      <c r="E362" t="s">
        <v>22</v>
      </c>
      <c r="F362" t="s">
        <v>73</v>
      </c>
      <c r="G362">
        <v>3.6</v>
      </c>
      <c r="H362" t="str">
        <f t="shared" si="51"/>
        <v>Low Use</v>
      </c>
      <c r="I362" t="s">
        <v>41</v>
      </c>
      <c r="J362" t="s">
        <v>26</v>
      </c>
      <c r="K362">
        <v>8.1999999999999993</v>
      </c>
      <c r="L362" t="str">
        <f t="shared" si="52"/>
        <v>Sufficient Sleep</v>
      </c>
      <c r="M362">
        <v>8</v>
      </c>
      <c r="N362" t="str">
        <f t="shared" si="53"/>
        <v>Sever</v>
      </c>
      <c r="O362" t="s">
        <v>20</v>
      </c>
      <c r="P362">
        <v>4</v>
      </c>
      <c r="Q362" t="str">
        <f t="shared" si="49"/>
        <v>Low</v>
      </c>
    </row>
    <row r="363" spans="1:17" hidden="1" x14ac:dyDescent="0.3">
      <c r="A363">
        <v>363</v>
      </c>
      <c r="B363">
        <v>20</v>
      </c>
      <c r="C363" t="str">
        <f t="shared" si="50"/>
        <v>Young Adult</v>
      </c>
      <c r="D363" t="s">
        <v>13</v>
      </c>
      <c r="E363" t="s">
        <v>14</v>
      </c>
      <c r="F363" t="s">
        <v>91</v>
      </c>
      <c r="G363">
        <v>4.5</v>
      </c>
      <c r="H363" t="str">
        <f t="shared" si="51"/>
        <v>Moderate Use</v>
      </c>
      <c r="I363" t="s">
        <v>31</v>
      </c>
      <c r="J363" t="s">
        <v>18</v>
      </c>
      <c r="K363">
        <v>7.4</v>
      </c>
      <c r="L363" t="str">
        <f t="shared" si="52"/>
        <v>Sufficient Sleep</v>
      </c>
      <c r="M363">
        <v>7</v>
      </c>
      <c r="N363" t="str">
        <f t="shared" si="53"/>
        <v>Sever</v>
      </c>
      <c r="O363" t="s">
        <v>28</v>
      </c>
      <c r="P363">
        <v>6</v>
      </c>
      <c r="Q363" t="str">
        <f t="shared" si="49"/>
        <v>Medium</v>
      </c>
    </row>
    <row r="364" spans="1:17" x14ac:dyDescent="0.3">
      <c r="A364">
        <v>364</v>
      </c>
      <c r="B364">
        <v>22</v>
      </c>
      <c r="C364" t="str">
        <f t="shared" si="50"/>
        <v>Young Adult</v>
      </c>
      <c r="D364" t="s">
        <v>21</v>
      </c>
      <c r="E364" t="s">
        <v>22</v>
      </c>
      <c r="F364" t="s">
        <v>23</v>
      </c>
      <c r="G364">
        <v>6.2</v>
      </c>
      <c r="H364" t="str">
        <f t="shared" si="51"/>
        <v>Heavy Use</v>
      </c>
      <c r="I364" t="s">
        <v>214</v>
      </c>
      <c r="J364" t="s">
        <v>18</v>
      </c>
      <c r="K364">
        <v>6.1</v>
      </c>
      <c r="L364" t="str">
        <f t="shared" si="52"/>
        <v>Severly Deficient Sleep</v>
      </c>
      <c r="M364">
        <v>5</v>
      </c>
      <c r="N364" t="str">
        <f t="shared" si="53"/>
        <v>Moderate</v>
      </c>
      <c r="O364" t="s">
        <v>20</v>
      </c>
      <c r="P364">
        <v>8</v>
      </c>
      <c r="Q364" t="str">
        <f>IF(P364&gt;=7,"High",IF(P364&gt;=6,"Medium","Low"))</f>
        <v>High</v>
      </c>
    </row>
    <row r="365" spans="1:17" hidden="1" x14ac:dyDescent="0.3">
      <c r="A365">
        <v>365</v>
      </c>
      <c r="B365">
        <v>19</v>
      </c>
      <c r="C365" t="str">
        <f t="shared" si="50"/>
        <v>Teenager</v>
      </c>
      <c r="D365" t="s">
        <v>13</v>
      </c>
      <c r="E365" t="s">
        <v>14</v>
      </c>
      <c r="F365" t="s">
        <v>81</v>
      </c>
      <c r="G365">
        <v>3.5</v>
      </c>
      <c r="H365" t="str">
        <f t="shared" si="51"/>
        <v>Low Use</v>
      </c>
      <c r="I365" t="s">
        <v>17</v>
      </c>
      <c r="J365" t="s">
        <v>26</v>
      </c>
      <c r="K365">
        <v>8.3000000000000007</v>
      </c>
      <c r="L365" t="str">
        <f t="shared" si="52"/>
        <v>Sufficient Sleep</v>
      </c>
      <c r="M365">
        <v>8</v>
      </c>
      <c r="N365" t="str">
        <f t="shared" si="53"/>
        <v>Sever</v>
      </c>
      <c r="O365" t="s">
        <v>28</v>
      </c>
      <c r="P365">
        <v>4</v>
      </c>
      <c r="Q365" t="str">
        <f t="shared" si="49"/>
        <v>Low</v>
      </c>
    </row>
    <row r="366" spans="1:17" hidden="1" x14ac:dyDescent="0.3">
      <c r="A366">
        <v>366</v>
      </c>
      <c r="B366">
        <v>21</v>
      </c>
      <c r="C366" t="str">
        <f t="shared" si="50"/>
        <v>Young Adult</v>
      </c>
      <c r="D366" t="s">
        <v>21</v>
      </c>
      <c r="E366" t="s">
        <v>22</v>
      </c>
      <c r="F366" t="s">
        <v>109</v>
      </c>
      <c r="G366">
        <v>5.0999999999999996</v>
      </c>
      <c r="H366" t="str">
        <f t="shared" si="51"/>
        <v>Moderate Use</v>
      </c>
      <c r="I366" t="s">
        <v>17</v>
      </c>
      <c r="J366" t="s">
        <v>18</v>
      </c>
      <c r="K366">
        <v>7.1</v>
      </c>
      <c r="L366" t="str">
        <f t="shared" si="52"/>
        <v>Sufficient Sleep</v>
      </c>
      <c r="M366">
        <v>6</v>
      </c>
      <c r="N366" t="str">
        <f t="shared" si="53"/>
        <v>Moderate</v>
      </c>
      <c r="O366" t="s">
        <v>28</v>
      </c>
      <c r="P366">
        <v>7</v>
      </c>
      <c r="Q366" t="str">
        <f t="shared" si="49"/>
        <v>High</v>
      </c>
    </row>
    <row r="367" spans="1:17" x14ac:dyDescent="0.3">
      <c r="A367">
        <v>367</v>
      </c>
      <c r="B367">
        <v>20</v>
      </c>
      <c r="C367" t="str">
        <f t="shared" si="50"/>
        <v>Young Adult</v>
      </c>
      <c r="D367" t="s">
        <v>13</v>
      </c>
      <c r="E367" t="s">
        <v>14</v>
      </c>
      <c r="F367" t="s">
        <v>29</v>
      </c>
      <c r="G367">
        <v>7.2</v>
      </c>
      <c r="H367" t="str">
        <f t="shared" si="51"/>
        <v>Heavy Use</v>
      </c>
      <c r="I367" t="s">
        <v>31</v>
      </c>
      <c r="J367" t="s">
        <v>18</v>
      </c>
      <c r="K367">
        <v>5.0999999999999996</v>
      </c>
      <c r="L367" t="str">
        <f t="shared" si="52"/>
        <v>Severly Deficient Sleep</v>
      </c>
      <c r="M367">
        <v>5</v>
      </c>
      <c r="N367" t="str">
        <f t="shared" si="53"/>
        <v>Moderate</v>
      </c>
      <c r="O367" t="s">
        <v>20</v>
      </c>
      <c r="P367">
        <v>9</v>
      </c>
      <c r="Q367" t="str">
        <f>IF(P367&gt;=7,"High",IF(P367&gt;=6,"Medium","Low"))</f>
        <v>High</v>
      </c>
    </row>
    <row r="368" spans="1:17" hidden="1" x14ac:dyDescent="0.3">
      <c r="A368">
        <v>368</v>
      </c>
      <c r="B368">
        <v>22</v>
      </c>
      <c r="C368" t="str">
        <f t="shared" si="50"/>
        <v>Young Adult</v>
      </c>
      <c r="D368" t="s">
        <v>21</v>
      </c>
      <c r="E368" t="s">
        <v>22</v>
      </c>
      <c r="F368" t="s">
        <v>62</v>
      </c>
      <c r="G368">
        <v>6</v>
      </c>
      <c r="H368" t="str">
        <f t="shared" si="51"/>
        <v>Heavy Use</v>
      </c>
      <c r="I368" t="s">
        <v>214</v>
      </c>
      <c r="J368" t="s">
        <v>18</v>
      </c>
      <c r="K368">
        <v>6.2</v>
      </c>
      <c r="L368" t="str">
        <f t="shared" si="52"/>
        <v>Severly Deficient Sleep</v>
      </c>
      <c r="M368">
        <v>6</v>
      </c>
      <c r="N368" t="str">
        <f t="shared" si="53"/>
        <v>Moderate</v>
      </c>
      <c r="O368" t="s">
        <v>28</v>
      </c>
      <c r="P368">
        <v>7</v>
      </c>
      <c r="Q368" t="str">
        <f t="shared" si="49"/>
        <v>High</v>
      </c>
    </row>
    <row r="369" spans="1:17" x14ac:dyDescent="0.3">
      <c r="A369">
        <v>369</v>
      </c>
      <c r="B369">
        <v>19</v>
      </c>
      <c r="C369" t="str">
        <f t="shared" si="50"/>
        <v>Teenager</v>
      </c>
      <c r="D369" t="s">
        <v>13</v>
      </c>
      <c r="E369" t="s">
        <v>14</v>
      </c>
      <c r="F369" t="s">
        <v>55</v>
      </c>
      <c r="G369">
        <v>4.0999999999999996</v>
      </c>
      <c r="H369" t="str">
        <f t="shared" si="51"/>
        <v>Moderate Use</v>
      </c>
      <c r="I369" t="s">
        <v>17</v>
      </c>
      <c r="J369" t="s">
        <v>26</v>
      </c>
      <c r="K369">
        <v>7.9</v>
      </c>
      <c r="L369" t="str">
        <f t="shared" si="52"/>
        <v>Sufficient Sleep</v>
      </c>
      <c r="M369">
        <v>7</v>
      </c>
      <c r="N369" t="str">
        <f t="shared" si="53"/>
        <v>Sever</v>
      </c>
      <c r="O369" t="s">
        <v>20</v>
      </c>
      <c r="P369">
        <v>5</v>
      </c>
      <c r="Q369" t="str">
        <f t="shared" ref="Q369:Q371" si="58">IF(P369&gt;=7,"High",IF(P369&gt;=6,"Medium","Low"))</f>
        <v>Low</v>
      </c>
    </row>
    <row r="370" spans="1:17" x14ac:dyDescent="0.3">
      <c r="A370">
        <v>370</v>
      </c>
      <c r="B370">
        <v>21</v>
      </c>
      <c r="C370" t="str">
        <f t="shared" si="50"/>
        <v>Young Adult</v>
      </c>
      <c r="D370" t="s">
        <v>21</v>
      </c>
      <c r="E370" t="s">
        <v>22</v>
      </c>
      <c r="F370" t="s">
        <v>39</v>
      </c>
      <c r="G370">
        <v>4.9000000000000004</v>
      </c>
      <c r="H370" t="str">
        <f t="shared" si="51"/>
        <v>Moderate Use</v>
      </c>
      <c r="I370" t="s">
        <v>17</v>
      </c>
      <c r="J370" t="s">
        <v>18</v>
      </c>
      <c r="K370">
        <v>7.3</v>
      </c>
      <c r="L370" t="str">
        <f t="shared" si="52"/>
        <v>Sufficient Sleep</v>
      </c>
      <c r="M370">
        <v>6</v>
      </c>
      <c r="N370" t="str">
        <f t="shared" si="53"/>
        <v>Moderate</v>
      </c>
      <c r="O370" t="s">
        <v>28</v>
      </c>
      <c r="P370">
        <v>7</v>
      </c>
      <c r="Q370" t="str">
        <f t="shared" si="58"/>
        <v>High</v>
      </c>
    </row>
    <row r="371" spans="1:17" x14ac:dyDescent="0.3">
      <c r="A371">
        <v>371</v>
      </c>
      <c r="B371">
        <v>20</v>
      </c>
      <c r="C371" t="str">
        <f t="shared" si="50"/>
        <v>Young Adult</v>
      </c>
      <c r="D371" t="s">
        <v>13</v>
      </c>
      <c r="E371" t="s">
        <v>14</v>
      </c>
      <c r="F371" t="s">
        <v>58</v>
      </c>
      <c r="G371">
        <v>4.7</v>
      </c>
      <c r="H371" t="str">
        <f t="shared" si="51"/>
        <v>Moderate Use</v>
      </c>
      <c r="I371" t="s">
        <v>31</v>
      </c>
      <c r="J371" t="s">
        <v>18</v>
      </c>
      <c r="K371">
        <v>7.2</v>
      </c>
      <c r="L371" t="str">
        <f t="shared" si="52"/>
        <v>Sufficient Sleep</v>
      </c>
      <c r="M371">
        <v>6</v>
      </c>
      <c r="N371" t="str">
        <f t="shared" si="53"/>
        <v>Moderate</v>
      </c>
      <c r="O371" t="s">
        <v>28</v>
      </c>
      <c r="P371">
        <v>7</v>
      </c>
      <c r="Q371" t="str">
        <f t="shared" si="58"/>
        <v>High</v>
      </c>
    </row>
    <row r="372" spans="1:17" hidden="1" x14ac:dyDescent="0.3">
      <c r="A372">
        <v>372</v>
      </c>
      <c r="B372">
        <v>22</v>
      </c>
      <c r="C372" t="str">
        <f t="shared" si="50"/>
        <v>Young Adult</v>
      </c>
      <c r="D372" t="s">
        <v>21</v>
      </c>
      <c r="E372" t="s">
        <v>22</v>
      </c>
      <c r="F372" t="s">
        <v>73</v>
      </c>
      <c r="G372">
        <v>3.5</v>
      </c>
      <c r="H372" t="str">
        <f t="shared" si="51"/>
        <v>Low Use</v>
      </c>
      <c r="I372" t="s">
        <v>41</v>
      </c>
      <c r="J372" t="s">
        <v>26</v>
      </c>
      <c r="K372">
        <v>8.3000000000000007</v>
      </c>
      <c r="L372" t="str">
        <f t="shared" si="52"/>
        <v>Sufficient Sleep</v>
      </c>
      <c r="M372">
        <v>8</v>
      </c>
      <c r="N372" t="str">
        <f t="shared" si="53"/>
        <v>Sever</v>
      </c>
      <c r="O372" t="s">
        <v>20</v>
      </c>
      <c r="P372">
        <v>4</v>
      </c>
      <c r="Q372" t="str">
        <f t="shared" si="49"/>
        <v>Low</v>
      </c>
    </row>
    <row r="373" spans="1:17" hidden="1" x14ac:dyDescent="0.3">
      <c r="A373">
        <v>373</v>
      </c>
      <c r="B373">
        <v>19</v>
      </c>
      <c r="C373" t="str">
        <f t="shared" si="50"/>
        <v>Teenager</v>
      </c>
      <c r="D373" t="s">
        <v>13</v>
      </c>
      <c r="E373" t="s">
        <v>14</v>
      </c>
      <c r="F373" t="s">
        <v>91</v>
      </c>
      <c r="G373">
        <v>4.4000000000000004</v>
      </c>
      <c r="H373" t="str">
        <f t="shared" si="51"/>
        <v>Moderate Use</v>
      </c>
      <c r="I373" t="s">
        <v>17</v>
      </c>
      <c r="J373" t="s">
        <v>18</v>
      </c>
      <c r="K373">
        <v>7.5</v>
      </c>
      <c r="L373" t="str">
        <f t="shared" si="52"/>
        <v>Sufficient Sleep</v>
      </c>
      <c r="M373">
        <v>7</v>
      </c>
      <c r="N373" t="str">
        <f t="shared" si="53"/>
        <v>Sever</v>
      </c>
      <c r="O373" t="s">
        <v>28</v>
      </c>
      <c r="P373">
        <v>6</v>
      </c>
      <c r="Q373" t="str">
        <f t="shared" si="49"/>
        <v>Medium</v>
      </c>
    </row>
    <row r="374" spans="1:17" x14ac:dyDescent="0.3">
      <c r="A374">
        <v>374</v>
      </c>
      <c r="B374">
        <v>21</v>
      </c>
      <c r="C374" t="str">
        <f t="shared" si="50"/>
        <v>Young Adult</v>
      </c>
      <c r="D374" t="s">
        <v>21</v>
      </c>
      <c r="E374" t="s">
        <v>22</v>
      </c>
      <c r="F374" t="s">
        <v>23</v>
      </c>
      <c r="G374">
        <v>6.3</v>
      </c>
      <c r="H374" t="str">
        <f t="shared" si="51"/>
        <v>Heavy Use</v>
      </c>
      <c r="I374" t="s">
        <v>214</v>
      </c>
      <c r="J374" t="s">
        <v>18</v>
      </c>
      <c r="K374">
        <v>6</v>
      </c>
      <c r="L374" t="str">
        <f t="shared" si="52"/>
        <v>Severly Deficient Sleep</v>
      </c>
      <c r="M374">
        <v>5</v>
      </c>
      <c r="N374" t="str">
        <f t="shared" si="53"/>
        <v>Moderate</v>
      </c>
      <c r="O374" t="s">
        <v>20</v>
      </c>
      <c r="P374">
        <v>8</v>
      </c>
      <c r="Q374" t="str">
        <f>IF(P374&gt;=7,"High",IF(P374&gt;=6,"Medium","Low"))</f>
        <v>High</v>
      </c>
    </row>
    <row r="375" spans="1:17" hidden="1" x14ac:dyDescent="0.3">
      <c r="A375">
        <v>375</v>
      </c>
      <c r="B375">
        <v>20</v>
      </c>
      <c r="C375" t="str">
        <f t="shared" si="50"/>
        <v>Young Adult</v>
      </c>
      <c r="D375" t="s">
        <v>13</v>
      </c>
      <c r="E375" t="s">
        <v>14</v>
      </c>
      <c r="F375" t="s">
        <v>81</v>
      </c>
      <c r="G375">
        <v>3.4</v>
      </c>
      <c r="H375" t="str">
        <f t="shared" si="51"/>
        <v>Low Use</v>
      </c>
      <c r="I375" t="s">
        <v>17</v>
      </c>
      <c r="J375" t="s">
        <v>26</v>
      </c>
      <c r="K375">
        <v>8.4</v>
      </c>
      <c r="L375" t="str">
        <f t="shared" si="52"/>
        <v>Sufficient Sleep</v>
      </c>
      <c r="M375">
        <v>8</v>
      </c>
      <c r="N375" t="str">
        <f t="shared" si="53"/>
        <v>Sever</v>
      </c>
      <c r="O375" t="s">
        <v>28</v>
      </c>
      <c r="P375">
        <v>4</v>
      </c>
      <c r="Q375" t="str">
        <f t="shared" si="49"/>
        <v>Low</v>
      </c>
    </row>
    <row r="376" spans="1:17" hidden="1" x14ac:dyDescent="0.3">
      <c r="A376">
        <v>376</v>
      </c>
      <c r="B376">
        <v>22</v>
      </c>
      <c r="C376" t="str">
        <f t="shared" si="50"/>
        <v>Young Adult</v>
      </c>
      <c r="D376" t="s">
        <v>21</v>
      </c>
      <c r="E376" t="s">
        <v>22</v>
      </c>
      <c r="F376" t="s">
        <v>109</v>
      </c>
      <c r="G376">
        <v>5</v>
      </c>
      <c r="H376" t="str">
        <f t="shared" si="51"/>
        <v>Moderate Use</v>
      </c>
      <c r="I376" t="s">
        <v>31</v>
      </c>
      <c r="J376" t="s">
        <v>18</v>
      </c>
      <c r="K376">
        <v>7.2</v>
      </c>
      <c r="L376" t="str">
        <f t="shared" si="52"/>
        <v>Sufficient Sleep</v>
      </c>
      <c r="M376">
        <v>6</v>
      </c>
      <c r="N376" t="str">
        <f t="shared" si="53"/>
        <v>Moderate</v>
      </c>
      <c r="O376" t="s">
        <v>28</v>
      </c>
      <c r="P376">
        <v>7</v>
      </c>
      <c r="Q376" t="str">
        <f t="shared" si="49"/>
        <v>High</v>
      </c>
    </row>
    <row r="377" spans="1:17" x14ac:dyDescent="0.3">
      <c r="A377">
        <v>377</v>
      </c>
      <c r="B377">
        <v>19</v>
      </c>
      <c r="C377" t="str">
        <f t="shared" si="50"/>
        <v>Teenager</v>
      </c>
      <c r="D377" t="s">
        <v>13</v>
      </c>
      <c r="E377" t="s">
        <v>14</v>
      </c>
      <c r="F377" t="s">
        <v>29</v>
      </c>
      <c r="G377">
        <v>7.3</v>
      </c>
      <c r="H377" t="str">
        <f t="shared" si="51"/>
        <v>Heavy Use</v>
      </c>
      <c r="I377" t="s">
        <v>17</v>
      </c>
      <c r="J377" t="s">
        <v>18</v>
      </c>
      <c r="K377">
        <v>5</v>
      </c>
      <c r="L377" t="str">
        <f t="shared" si="52"/>
        <v>Severly Deficient Sleep</v>
      </c>
      <c r="M377">
        <v>5</v>
      </c>
      <c r="N377" t="str">
        <f t="shared" si="53"/>
        <v>Moderate</v>
      </c>
      <c r="O377" t="s">
        <v>20</v>
      </c>
      <c r="P377">
        <v>9</v>
      </c>
      <c r="Q377" t="str">
        <f>IF(P377&gt;=7,"High",IF(P377&gt;=6,"Medium","Low"))</f>
        <v>High</v>
      </c>
    </row>
    <row r="378" spans="1:17" hidden="1" x14ac:dyDescent="0.3">
      <c r="A378">
        <v>378</v>
      </c>
      <c r="B378">
        <v>21</v>
      </c>
      <c r="C378" t="str">
        <f t="shared" si="50"/>
        <v>Young Adult</v>
      </c>
      <c r="D378" t="s">
        <v>21</v>
      </c>
      <c r="E378" t="s">
        <v>22</v>
      </c>
      <c r="F378" t="s">
        <v>62</v>
      </c>
      <c r="G378">
        <v>6.1</v>
      </c>
      <c r="H378" t="str">
        <f t="shared" si="51"/>
        <v>Heavy Use</v>
      </c>
      <c r="I378" t="s">
        <v>214</v>
      </c>
      <c r="J378" t="s">
        <v>18</v>
      </c>
      <c r="K378">
        <v>6.1</v>
      </c>
      <c r="L378" t="str">
        <f t="shared" si="52"/>
        <v>Severly Deficient Sleep</v>
      </c>
      <c r="M378">
        <v>6</v>
      </c>
      <c r="N378" t="str">
        <f t="shared" si="53"/>
        <v>Moderate</v>
      </c>
      <c r="O378" t="s">
        <v>28</v>
      </c>
      <c r="P378">
        <v>7</v>
      </c>
      <c r="Q378" t="str">
        <f t="shared" si="49"/>
        <v>High</v>
      </c>
    </row>
    <row r="379" spans="1:17" x14ac:dyDescent="0.3">
      <c r="A379">
        <v>379</v>
      </c>
      <c r="B379">
        <v>20</v>
      </c>
      <c r="C379" t="str">
        <f t="shared" si="50"/>
        <v>Young Adult</v>
      </c>
      <c r="D379" t="s">
        <v>13</v>
      </c>
      <c r="E379" t="s">
        <v>14</v>
      </c>
      <c r="F379" t="s">
        <v>55</v>
      </c>
      <c r="G379">
        <v>4</v>
      </c>
      <c r="H379" t="str">
        <f t="shared" si="51"/>
        <v>Moderate Use</v>
      </c>
      <c r="I379" t="s">
        <v>17</v>
      </c>
      <c r="J379" t="s">
        <v>26</v>
      </c>
      <c r="K379">
        <v>8</v>
      </c>
      <c r="L379" t="str">
        <f t="shared" si="52"/>
        <v>Sufficient Sleep</v>
      </c>
      <c r="M379">
        <v>7</v>
      </c>
      <c r="N379" t="str">
        <f t="shared" si="53"/>
        <v>Sever</v>
      </c>
      <c r="O379" t="s">
        <v>20</v>
      </c>
      <c r="P379">
        <v>5</v>
      </c>
      <c r="Q379" t="str">
        <f t="shared" ref="Q379:Q381" si="59">IF(P379&gt;=7,"High",IF(P379&gt;=6,"Medium","Low"))</f>
        <v>Low</v>
      </c>
    </row>
    <row r="380" spans="1:17" x14ac:dyDescent="0.3">
      <c r="A380">
        <v>380</v>
      </c>
      <c r="B380">
        <v>22</v>
      </c>
      <c r="C380" t="str">
        <f t="shared" si="50"/>
        <v>Young Adult</v>
      </c>
      <c r="D380" t="s">
        <v>21</v>
      </c>
      <c r="E380" t="s">
        <v>22</v>
      </c>
      <c r="F380" t="s">
        <v>39</v>
      </c>
      <c r="G380">
        <v>4.8</v>
      </c>
      <c r="H380" t="str">
        <f t="shared" si="51"/>
        <v>Moderate Use</v>
      </c>
      <c r="I380" t="s">
        <v>31</v>
      </c>
      <c r="J380" t="s">
        <v>18</v>
      </c>
      <c r="K380">
        <v>7.4</v>
      </c>
      <c r="L380" t="str">
        <f t="shared" si="52"/>
        <v>Sufficient Sleep</v>
      </c>
      <c r="M380">
        <v>6</v>
      </c>
      <c r="N380" t="str">
        <f t="shared" si="53"/>
        <v>Moderate</v>
      </c>
      <c r="O380" t="s">
        <v>28</v>
      </c>
      <c r="P380">
        <v>7</v>
      </c>
      <c r="Q380" t="str">
        <f t="shared" si="59"/>
        <v>High</v>
      </c>
    </row>
    <row r="381" spans="1:17" x14ac:dyDescent="0.3">
      <c r="A381">
        <v>381</v>
      </c>
      <c r="B381">
        <v>19</v>
      </c>
      <c r="C381" t="str">
        <f t="shared" si="50"/>
        <v>Teenager</v>
      </c>
      <c r="D381" t="s">
        <v>13</v>
      </c>
      <c r="E381" t="s">
        <v>14</v>
      </c>
      <c r="F381" t="s">
        <v>58</v>
      </c>
      <c r="G381">
        <v>4.5999999999999996</v>
      </c>
      <c r="H381" t="str">
        <f t="shared" si="51"/>
        <v>Moderate Use</v>
      </c>
      <c r="I381" t="s">
        <v>17</v>
      </c>
      <c r="J381" t="s">
        <v>18</v>
      </c>
      <c r="K381">
        <v>7.3</v>
      </c>
      <c r="L381" t="str">
        <f t="shared" si="52"/>
        <v>Sufficient Sleep</v>
      </c>
      <c r="M381">
        <v>6</v>
      </c>
      <c r="N381" t="str">
        <f t="shared" si="53"/>
        <v>Moderate</v>
      </c>
      <c r="O381" t="s">
        <v>28</v>
      </c>
      <c r="P381">
        <v>7</v>
      </c>
      <c r="Q381" t="str">
        <f t="shared" si="59"/>
        <v>High</v>
      </c>
    </row>
    <row r="382" spans="1:17" hidden="1" x14ac:dyDescent="0.3">
      <c r="A382">
        <v>382</v>
      </c>
      <c r="B382">
        <v>21</v>
      </c>
      <c r="C382" t="str">
        <f t="shared" si="50"/>
        <v>Young Adult</v>
      </c>
      <c r="D382" t="s">
        <v>21</v>
      </c>
      <c r="E382" t="s">
        <v>22</v>
      </c>
      <c r="F382" t="s">
        <v>73</v>
      </c>
      <c r="G382">
        <v>3.4</v>
      </c>
      <c r="H382" t="str">
        <f t="shared" si="51"/>
        <v>Low Use</v>
      </c>
      <c r="I382" t="s">
        <v>41</v>
      </c>
      <c r="J382" t="s">
        <v>26</v>
      </c>
      <c r="K382">
        <v>8.4</v>
      </c>
      <c r="L382" t="str">
        <f t="shared" si="52"/>
        <v>Sufficient Sleep</v>
      </c>
      <c r="M382">
        <v>8</v>
      </c>
      <c r="N382" t="str">
        <f t="shared" si="53"/>
        <v>Sever</v>
      </c>
      <c r="O382" t="s">
        <v>20</v>
      </c>
      <c r="P382">
        <v>4</v>
      </c>
      <c r="Q382" t="str">
        <f t="shared" ref="Q381:Q444" si="60">IF(P382&gt;=7,"High",IF(P382&gt;=5,"Medium","Low"))</f>
        <v>Low</v>
      </c>
    </row>
    <row r="383" spans="1:17" hidden="1" x14ac:dyDescent="0.3">
      <c r="A383">
        <v>383</v>
      </c>
      <c r="B383">
        <v>20</v>
      </c>
      <c r="C383" t="str">
        <f t="shared" si="50"/>
        <v>Young Adult</v>
      </c>
      <c r="D383" t="s">
        <v>13</v>
      </c>
      <c r="E383" t="s">
        <v>14</v>
      </c>
      <c r="F383" t="s">
        <v>91</v>
      </c>
      <c r="G383">
        <v>4.3</v>
      </c>
      <c r="H383" t="str">
        <f t="shared" si="51"/>
        <v>Moderate Use</v>
      </c>
      <c r="I383" t="s">
        <v>31</v>
      </c>
      <c r="J383" t="s">
        <v>18</v>
      </c>
      <c r="K383">
        <v>7.6</v>
      </c>
      <c r="L383" t="str">
        <f t="shared" si="52"/>
        <v>Sufficient Sleep</v>
      </c>
      <c r="M383">
        <v>7</v>
      </c>
      <c r="N383" t="str">
        <f t="shared" si="53"/>
        <v>Sever</v>
      </c>
      <c r="O383" t="s">
        <v>28</v>
      </c>
      <c r="P383">
        <v>6</v>
      </c>
      <c r="Q383" t="str">
        <f t="shared" si="60"/>
        <v>Medium</v>
      </c>
    </row>
    <row r="384" spans="1:17" x14ac:dyDescent="0.3">
      <c r="A384">
        <v>384</v>
      </c>
      <c r="B384">
        <v>22</v>
      </c>
      <c r="C384" t="str">
        <f t="shared" si="50"/>
        <v>Young Adult</v>
      </c>
      <c r="D384" t="s">
        <v>21</v>
      </c>
      <c r="E384" t="s">
        <v>22</v>
      </c>
      <c r="F384" t="s">
        <v>23</v>
      </c>
      <c r="G384">
        <v>6.4</v>
      </c>
      <c r="H384" t="str">
        <f t="shared" si="51"/>
        <v>Heavy Use</v>
      </c>
      <c r="I384" t="s">
        <v>214</v>
      </c>
      <c r="J384" t="s">
        <v>18</v>
      </c>
      <c r="K384">
        <v>5.9</v>
      </c>
      <c r="L384" t="str">
        <f t="shared" si="52"/>
        <v>Severly Deficient Sleep</v>
      </c>
      <c r="M384">
        <v>5</v>
      </c>
      <c r="N384" t="str">
        <f t="shared" si="53"/>
        <v>Moderate</v>
      </c>
      <c r="O384" t="s">
        <v>20</v>
      </c>
      <c r="P384">
        <v>8</v>
      </c>
      <c r="Q384" t="str">
        <f>IF(P384&gt;=7,"High",IF(P384&gt;=6,"Medium","Low"))</f>
        <v>High</v>
      </c>
    </row>
    <row r="385" spans="1:17" hidden="1" x14ac:dyDescent="0.3">
      <c r="A385">
        <v>385</v>
      </c>
      <c r="B385">
        <v>19</v>
      </c>
      <c r="C385" t="str">
        <f t="shared" ref="C385:C448" si="61">IF(B385&gt;=20,"Young Adult","Teenager")</f>
        <v>Teenager</v>
      </c>
      <c r="D385" t="s">
        <v>13</v>
      </c>
      <c r="E385" t="s">
        <v>14</v>
      </c>
      <c r="F385" t="s">
        <v>81</v>
      </c>
      <c r="G385">
        <v>3.3</v>
      </c>
      <c r="H385" t="str">
        <f t="shared" ref="H385:H448" si="62">IF(G385&gt;=6,"Heavy Use",IF(G385&gt;=4,"Moderate Use","Low Use"))</f>
        <v>Low Use</v>
      </c>
      <c r="I385" t="s">
        <v>17</v>
      </c>
      <c r="J385" t="s">
        <v>26</v>
      </c>
      <c r="K385">
        <v>8.5</v>
      </c>
      <c r="L385" t="str">
        <f t="shared" ref="L385:L448" si="63">IF(K385&gt;=9,"Excessive Sleep",IF(K385&gt;=7,"Sufficient Sleep","Severly Deficient Sleep"))</f>
        <v>Sufficient Sleep</v>
      </c>
      <c r="M385">
        <v>8</v>
      </c>
      <c r="N385" t="str">
        <f t="shared" ref="N385:N448" si="64">IF(M385&gt;=7,"Sever",IF(M385&lt;=4,"Mild","Moderate"))</f>
        <v>Sever</v>
      </c>
      <c r="O385" t="s">
        <v>28</v>
      </c>
      <c r="P385">
        <v>4</v>
      </c>
      <c r="Q385" t="str">
        <f t="shared" si="60"/>
        <v>Low</v>
      </c>
    </row>
    <row r="386" spans="1:17" hidden="1" x14ac:dyDescent="0.3">
      <c r="A386">
        <v>386</v>
      </c>
      <c r="B386">
        <v>21</v>
      </c>
      <c r="C386" t="str">
        <f t="shared" si="61"/>
        <v>Young Adult</v>
      </c>
      <c r="D386" t="s">
        <v>21</v>
      </c>
      <c r="E386" t="s">
        <v>22</v>
      </c>
      <c r="F386" t="s">
        <v>109</v>
      </c>
      <c r="G386">
        <v>4.9000000000000004</v>
      </c>
      <c r="H386" t="str">
        <f t="shared" si="62"/>
        <v>Moderate Use</v>
      </c>
      <c r="I386" t="s">
        <v>17</v>
      </c>
      <c r="J386" t="s">
        <v>18</v>
      </c>
      <c r="K386">
        <v>7.3</v>
      </c>
      <c r="L386" t="str">
        <f t="shared" si="63"/>
        <v>Sufficient Sleep</v>
      </c>
      <c r="M386">
        <v>6</v>
      </c>
      <c r="N386" t="str">
        <f t="shared" si="64"/>
        <v>Moderate</v>
      </c>
      <c r="O386" t="s">
        <v>28</v>
      </c>
      <c r="P386">
        <v>7</v>
      </c>
      <c r="Q386" t="str">
        <f t="shared" si="60"/>
        <v>High</v>
      </c>
    </row>
    <row r="387" spans="1:17" x14ac:dyDescent="0.3">
      <c r="A387">
        <v>387</v>
      </c>
      <c r="B387">
        <v>20</v>
      </c>
      <c r="C387" t="str">
        <f t="shared" si="61"/>
        <v>Young Adult</v>
      </c>
      <c r="D387" t="s">
        <v>13</v>
      </c>
      <c r="E387" t="s">
        <v>14</v>
      </c>
      <c r="F387" t="s">
        <v>29</v>
      </c>
      <c r="G387">
        <v>7.4</v>
      </c>
      <c r="H387" t="str">
        <f t="shared" si="62"/>
        <v>Heavy Use</v>
      </c>
      <c r="I387" t="s">
        <v>31</v>
      </c>
      <c r="J387" t="s">
        <v>18</v>
      </c>
      <c r="K387">
        <v>4.9000000000000004</v>
      </c>
      <c r="L387" t="str">
        <f t="shared" si="63"/>
        <v>Severly Deficient Sleep</v>
      </c>
      <c r="M387">
        <v>5</v>
      </c>
      <c r="N387" t="str">
        <f t="shared" si="64"/>
        <v>Moderate</v>
      </c>
      <c r="O387" t="s">
        <v>20</v>
      </c>
      <c r="P387">
        <v>9</v>
      </c>
      <c r="Q387" t="str">
        <f>IF(P387&gt;=7,"High",IF(P387&gt;=6,"Medium","Low"))</f>
        <v>High</v>
      </c>
    </row>
    <row r="388" spans="1:17" hidden="1" x14ac:dyDescent="0.3">
      <c r="A388">
        <v>388</v>
      </c>
      <c r="B388">
        <v>22</v>
      </c>
      <c r="C388" t="str">
        <f t="shared" si="61"/>
        <v>Young Adult</v>
      </c>
      <c r="D388" t="s">
        <v>21</v>
      </c>
      <c r="E388" t="s">
        <v>22</v>
      </c>
      <c r="F388" t="s">
        <v>62</v>
      </c>
      <c r="G388">
        <v>6.2</v>
      </c>
      <c r="H388" t="str">
        <f t="shared" si="62"/>
        <v>Heavy Use</v>
      </c>
      <c r="I388" t="s">
        <v>214</v>
      </c>
      <c r="J388" t="s">
        <v>18</v>
      </c>
      <c r="K388">
        <v>6</v>
      </c>
      <c r="L388" t="str">
        <f t="shared" si="63"/>
        <v>Severly Deficient Sleep</v>
      </c>
      <c r="M388">
        <v>6</v>
      </c>
      <c r="N388" t="str">
        <f t="shared" si="64"/>
        <v>Moderate</v>
      </c>
      <c r="O388" t="s">
        <v>28</v>
      </c>
      <c r="P388">
        <v>7</v>
      </c>
      <c r="Q388" t="str">
        <f t="shared" si="60"/>
        <v>High</v>
      </c>
    </row>
    <row r="389" spans="1:17" x14ac:dyDescent="0.3">
      <c r="A389">
        <v>389</v>
      </c>
      <c r="B389">
        <v>19</v>
      </c>
      <c r="C389" t="str">
        <f t="shared" si="61"/>
        <v>Teenager</v>
      </c>
      <c r="D389" t="s">
        <v>13</v>
      </c>
      <c r="E389" t="s">
        <v>14</v>
      </c>
      <c r="F389" t="s">
        <v>55</v>
      </c>
      <c r="G389">
        <v>3.9</v>
      </c>
      <c r="H389" t="str">
        <f t="shared" si="62"/>
        <v>Low Use</v>
      </c>
      <c r="I389" t="s">
        <v>17</v>
      </c>
      <c r="J389" t="s">
        <v>26</v>
      </c>
      <c r="K389">
        <v>8.1</v>
      </c>
      <c r="L389" t="str">
        <f t="shared" si="63"/>
        <v>Sufficient Sleep</v>
      </c>
      <c r="M389">
        <v>7</v>
      </c>
      <c r="N389" t="str">
        <f t="shared" si="64"/>
        <v>Sever</v>
      </c>
      <c r="O389" t="s">
        <v>20</v>
      </c>
      <c r="P389">
        <v>5</v>
      </c>
      <c r="Q389" t="str">
        <f t="shared" ref="Q389:Q391" si="65">IF(P389&gt;=7,"High",IF(P389&gt;=6,"Medium","Low"))</f>
        <v>Low</v>
      </c>
    </row>
    <row r="390" spans="1:17" x14ac:dyDescent="0.3">
      <c r="A390">
        <v>390</v>
      </c>
      <c r="B390">
        <v>21</v>
      </c>
      <c r="C390" t="str">
        <f t="shared" si="61"/>
        <v>Young Adult</v>
      </c>
      <c r="D390" t="s">
        <v>21</v>
      </c>
      <c r="E390" t="s">
        <v>22</v>
      </c>
      <c r="F390" t="s">
        <v>39</v>
      </c>
      <c r="G390">
        <v>4.7</v>
      </c>
      <c r="H390" t="str">
        <f t="shared" si="62"/>
        <v>Moderate Use</v>
      </c>
      <c r="I390" t="s">
        <v>17</v>
      </c>
      <c r="J390" t="s">
        <v>18</v>
      </c>
      <c r="K390">
        <v>7.5</v>
      </c>
      <c r="L390" t="str">
        <f t="shared" si="63"/>
        <v>Sufficient Sleep</v>
      </c>
      <c r="M390">
        <v>6</v>
      </c>
      <c r="N390" t="str">
        <f t="shared" si="64"/>
        <v>Moderate</v>
      </c>
      <c r="O390" t="s">
        <v>28</v>
      </c>
      <c r="P390">
        <v>7</v>
      </c>
      <c r="Q390" t="str">
        <f t="shared" si="65"/>
        <v>High</v>
      </c>
    </row>
    <row r="391" spans="1:17" x14ac:dyDescent="0.3">
      <c r="A391">
        <v>391</v>
      </c>
      <c r="B391">
        <v>20</v>
      </c>
      <c r="C391" t="str">
        <f t="shared" si="61"/>
        <v>Young Adult</v>
      </c>
      <c r="D391" t="s">
        <v>13</v>
      </c>
      <c r="E391" t="s">
        <v>14</v>
      </c>
      <c r="F391" t="s">
        <v>58</v>
      </c>
      <c r="G391">
        <v>4.5</v>
      </c>
      <c r="H391" t="str">
        <f t="shared" si="62"/>
        <v>Moderate Use</v>
      </c>
      <c r="I391" t="s">
        <v>31</v>
      </c>
      <c r="J391" t="s">
        <v>18</v>
      </c>
      <c r="K391">
        <v>7.4</v>
      </c>
      <c r="L391" t="str">
        <f t="shared" si="63"/>
        <v>Sufficient Sleep</v>
      </c>
      <c r="M391">
        <v>6</v>
      </c>
      <c r="N391" t="str">
        <f t="shared" si="64"/>
        <v>Moderate</v>
      </c>
      <c r="O391" t="s">
        <v>28</v>
      </c>
      <c r="P391">
        <v>7</v>
      </c>
      <c r="Q391" t="str">
        <f t="shared" si="65"/>
        <v>High</v>
      </c>
    </row>
    <row r="392" spans="1:17" hidden="1" x14ac:dyDescent="0.3">
      <c r="A392">
        <v>392</v>
      </c>
      <c r="B392">
        <v>22</v>
      </c>
      <c r="C392" t="str">
        <f t="shared" si="61"/>
        <v>Young Adult</v>
      </c>
      <c r="D392" t="s">
        <v>21</v>
      </c>
      <c r="E392" t="s">
        <v>22</v>
      </c>
      <c r="F392" t="s">
        <v>73</v>
      </c>
      <c r="G392">
        <v>3.3</v>
      </c>
      <c r="H392" t="str">
        <f t="shared" si="62"/>
        <v>Low Use</v>
      </c>
      <c r="I392" t="s">
        <v>41</v>
      </c>
      <c r="J392" t="s">
        <v>26</v>
      </c>
      <c r="K392">
        <v>8.5</v>
      </c>
      <c r="L392" t="str">
        <f t="shared" si="63"/>
        <v>Sufficient Sleep</v>
      </c>
      <c r="M392">
        <v>8</v>
      </c>
      <c r="N392" t="str">
        <f t="shared" si="64"/>
        <v>Sever</v>
      </c>
      <c r="O392" t="s">
        <v>20</v>
      </c>
      <c r="P392">
        <v>4</v>
      </c>
      <c r="Q392" t="str">
        <f t="shared" si="60"/>
        <v>Low</v>
      </c>
    </row>
    <row r="393" spans="1:17" hidden="1" x14ac:dyDescent="0.3">
      <c r="A393">
        <v>393</v>
      </c>
      <c r="B393">
        <v>19</v>
      </c>
      <c r="C393" t="str">
        <f t="shared" si="61"/>
        <v>Teenager</v>
      </c>
      <c r="D393" t="s">
        <v>13</v>
      </c>
      <c r="E393" t="s">
        <v>14</v>
      </c>
      <c r="F393" t="s">
        <v>91</v>
      </c>
      <c r="G393">
        <v>4.2</v>
      </c>
      <c r="H393" t="str">
        <f t="shared" si="62"/>
        <v>Moderate Use</v>
      </c>
      <c r="I393" t="s">
        <v>17</v>
      </c>
      <c r="J393" t="s">
        <v>18</v>
      </c>
      <c r="K393">
        <v>7.7</v>
      </c>
      <c r="L393" t="str">
        <f t="shared" si="63"/>
        <v>Sufficient Sleep</v>
      </c>
      <c r="M393">
        <v>7</v>
      </c>
      <c r="N393" t="str">
        <f t="shared" si="64"/>
        <v>Sever</v>
      </c>
      <c r="O393" t="s">
        <v>28</v>
      </c>
      <c r="P393">
        <v>6</v>
      </c>
      <c r="Q393" t="str">
        <f t="shared" si="60"/>
        <v>Medium</v>
      </c>
    </row>
    <row r="394" spans="1:17" x14ac:dyDescent="0.3">
      <c r="A394">
        <v>394</v>
      </c>
      <c r="B394">
        <v>21</v>
      </c>
      <c r="C394" t="str">
        <f t="shared" si="61"/>
        <v>Young Adult</v>
      </c>
      <c r="D394" t="s">
        <v>21</v>
      </c>
      <c r="E394" t="s">
        <v>22</v>
      </c>
      <c r="F394" t="s">
        <v>23</v>
      </c>
      <c r="G394">
        <v>6.5</v>
      </c>
      <c r="H394" t="str">
        <f t="shared" si="62"/>
        <v>Heavy Use</v>
      </c>
      <c r="I394" t="s">
        <v>214</v>
      </c>
      <c r="J394" t="s">
        <v>18</v>
      </c>
      <c r="K394">
        <v>5.8</v>
      </c>
      <c r="L394" t="str">
        <f t="shared" si="63"/>
        <v>Severly Deficient Sleep</v>
      </c>
      <c r="M394">
        <v>5</v>
      </c>
      <c r="N394" t="str">
        <f t="shared" si="64"/>
        <v>Moderate</v>
      </c>
      <c r="O394" t="s">
        <v>20</v>
      </c>
      <c r="P394">
        <v>8</v>
      </c>
      <c r="Q394" t="str">
        <f>IF(P394&gt;=7,"High",IF(P394&gt;=6,"Medium","Low"))</f>
        <v>High</v>
      </c>
    </row>
    <row r="395" spans="1:17" hidden="1" x14ac:dyDescent="0.3">
      <c r="A395">
        <v>395</v>
      </c>
      <c r="B395">
        <v>20</v>
      </c>
      <c r="C395" t="str">
        <f t="shared" si="61"/>
        <v>Young Adult</v>
      </c>
      <c r="D395" t="s">
        <v>13</v>
      </c>
      <c r="E395" t="s">
        <v>14</v>
      </c>
      <c r="F395" t="s">
        <v>81</v>
      </c>
      <c r="G395">
        <v>3.2</v>
      </c>
      <c r="H395" t="str">
        <f t="shared" si="62"/>
        <v>Low Use</v>
      </c>
      <c r="I395" t="s">
        <v>17</v>
      </c>
      <c r="J395" t="s">
        <v>26</v>
      </c>
      <c r="K395">
        <v>8.6</v>
      </c>
      <c r="L395" t="str">
        <f t="shared" si="63"/>
        <v>Sufficient Sleep</v>
      </c>
      <c r="M395">
        <v>8</v>
      </c>
      <c r="N395" t="str">
        <f t="shared" si="64"/>
        <v>Sever</v>
      </c>
      <c r="O395" t="s">
        <v>28</v>
      </c>
      <c r="P395">
        <v>4</v>
      </c>
      <c r="Q395" t="str">
        <f t="shared" si="60"/>
        <v>Low</v>
      </c>
    </row>
    <row r="396" spans="1:17" hidden="1" x14ac:dyDescent="0.3">
      <c r="A396">
        <v>396</v>
      </c>
      <c r="B396">
        <v>22</v>
      </c>
      <c r="C396" t="str">
        <f t="shared" si="61"/>
        <v>Young Adult</v>
      </c>
      <c r="D396" t="s">
        <v>21</v>
      </c>
      <c r="E396" t="s">
        <v>22</v>
      </c>
      <c r="F396" t="s">
        <v>109</v>
      </c>
      <c r="G396">
        <v>4.8</v>
      </c>
      <c r="H396" t="str">
        <f t="shared" si="62"/>
        <v>Moderate Use</v>
      </c>
      <c r="I396" t="s">
        <v>31</v>
      </c>
      <c r="J396" t="s">
        <v>18</v>
      </c>
      <c r="K396">
        <v>7.4</v>
      </c>
      <c r="L396" t="str">
        <f t="shared" si="63"/>
        <v>Sufficient Sleep</v>
      </c>
      <c r="M396">
        <v>6</v>
      </c>
      <c r="N396" t="str">
        <f t="shared" si="64"/>
        <v>Moderate</v>
      </c>
      <c r="O396" t="s">
        <v>28</v>
      </c>
      <c r="P396">
        <v>7</v>
      </c>
      <c r="Q396" t="str">
        <f t="shared" si="60"/>
        <v>High</v>
      </c>
    </row>
    <row r="397" spans="1:17" x14ac:dyDescent="0.3">
      <c r="A397">
        <v>397</v>
      </c>
      <c r="B397">
        <v>19</v>
      </c>
      <c r="C397" t="str">
        <f t="shared" si="61"/>
        <v>Teenager</v>
      </c>
      <c r="D397" t="s">
        <v>13</v>
      </c>
      <c r="E397" t="s">
        <v>14</v>
      </c>
      <c r="F397" t="s">
        <v>29</v>
      </c>
      <c r="G397">
        <v>7.5</v>
      </c>
      <c r="H397" t="str">
        <f t="shared" si="62"/>
        <v>Heavy Use</v>
      </c>
      <c r="I397" t="s">
        <v>17</v>
      </c>
      <c r="J397" t="s">
        <v>18</v>
      </c>
      <c r="K397">
        <v>4.8</v>
      </c>
      <c r="L397" t="str">
        <f t="shared" si="63"/>
        <v>Severly Deficient Sleep</v>
      </c>
      <c r="M397">
        <v>5</v>
      </c>
      <c r="N397" t="str">
        <f t="shared" si="64"/>
        <v>Moderate</v>
      </c>
      <c r="O397" t="s">
        <v>20</v>
      </c>
      <c r="P397">
        <v>9</v>
      </c>
      <c r="Q397" t="str">
        <f>IF(P397&gt;=7,"High",IF(P397&gt;=6,"Medium","Low"))</f>
        <v>High</v>
      </c>
    </row>
    <row r="398" spans="1:17" hidden="1" x14ac:dyDescent="0.3">
      <c r="A398">
        <v>398</v>
      </c>
      <c r="B398">
        <v>21</v>
      </c>
      <c r="C398" t="str">
        <f t="shared" si="61"/>
        <v>Young Adult</v>
      </c>
      <c r="D398" t="s">
        <v>21</v>
      </c>
      <c r="E398" t="s">
        <v>22</v>
      </c>
      <c r="F398" t="s">
        <v>62</v>
      </c>
      <c r="G398">
        <v>6.3</v>
      </c>
      <c r="H398" t="str">
        <f t="shared" si="62"/>
        <v>Heavy Use</v>
      </c>
      <c r="I398" t="s">
        <v>214</v>
      </c>
      <c r="J398" t="s">
        <v>18</v>
      </c>
      <c r="K398">
        <v>5.9</v>
      </c>
      <c r="L398" t="str">
        <f t="shared" si="63"/>
        <v>Severly Deficient Sleep</v>
      </c>
      <c r="M398">
        <v>6</v>
      </c>
      <c r="N398" t="str">
        <f t="shared" si="64"/>
        <v>Moderate</v>
      </c>
      <c r="O398" t="s">
        <v>28</v>
      </c>
      <c r="P398">
        <v>7</v>
      </c>
      <c r="Q398" t="str">
        <f t="shared" si="60"/>
        <v>High</v>
      </c>
    </row>
    <row r="399" spans="1:17" x14ac:dyDescent="0.3">
      <c r="A399">
        <v>399</v>
      </c>
      <c r="B399">
        <v>20</v>
      </c>
      <c r="C399" t="str">
        <f t="shared" si="61"/>
        <v>Young Adult</v>
      </c>
      <c r="D399" t="s">
        <v>13</v>
      </c>
      <c r="E399" t="s">
        <v>14</v>
      </c>
      <c r="F399" t="s">
        <v>55</v>
      </c>
      <c r="G399">
        <v>3.8</v>
      </c>
      <c r="H399" t="str">
        <f t="shared" si="62"/>
        <v>Low Use</v>
      </c>
      <c r="I399" t="s">
        <v>17</v>
      </c>
      <c r="J399" t="s">
        <v>26</v>
      </c>
      <c r="K399">
        <v>8.1999999999999993</v>
      </c>
      <c r="L399" t="str">
        <f t="shared" si="63"/>
        <v>Sufficient Sleep</v>
      </c>
      <c r="M399">
        <v>7</v>
      </c>
      <c r="N399" t="str">
        <f t="shared" si="64"/>
        <v>Sever</v>
      </c>
      <c r="O399" t="s">
        <v>20</v>
      </c>
      <c r="P399">
        <v>5</v>
      </c>
      <c r="Q399" t="str">
        <f t="shared" ref="Q399:Q401" si="66">IF(P399&gt;=7,"High",IF(P399&gt;=6,"Medium","Low"))</f>
        <v>Low</v>
      </c>
    </row>
    <row r="400" spans="1:17" x14ac:dyDescent="0.3">
      <c r="A400">
        <v>400</v>
      </c>
      <c r="B400">
        <v>22</v>
      </c>
      <c r="C400" t="str">
        <f t="shared" si="61"/>
        <v>Young Adult</v>
      </c>
      <c r="D400" t="s">
        <v>21</v>
      </c>
      <c r="E400" t="s">
        <v>22</v>
      </c>
      <c r="F400" t="s">
        <v>39</v>
      </c>
      <c r="G400">
        <v>4.5999999999999996</v>
      </c>
      <c r="H400" t="str">
        <f t="shared" si="62"/>
        <v>Moderate Use</v>
      </c>
      <c r="I400" t="s">
        <v>31</v>
      </c>
      <c r="J400" t="s">
        <v>18</v>
      </c>
      <c r="K400">
        <v>7.6</v>
      </c>
      <c r="L400" t="str">
        <f t="shared" si="63"/>
        <v>Sufficient Sleep</v>
      </c>
      <c r="M400">
        <v>6</v>
      </c>
      <c r="N400" t="str">
        <f t="shared" si="64"/>
        <v>Moderate</v>
      </c>
      <c r="O400" t="s">
        <v>28</v>
      </c>
      <c r="P400">
        <v>7</v>
      </c>
      <c r="Q400" t="str">
        <f t="shared" si="66"/>
        <v>High</v>
      </c>
    </row>
    <row r="401" spans="1:17" x14ac:dyDescent="0.3">
      <c r="A401">
        <v>401</v>
      </c>
      <c r="B401">
        <v>19</v>
      </c>
      <c r="C401" t="str">
        <f t="shared" si="61"/>
        <v>Teenager</v>
      </c>
      <c r="D401" t="s">
        <v>13</v>
      </c>
      <c r="E401" t="s">
        <v>14</v>
      </c>
      <c r="F401" t="s">
        <v>58</v>
      </c>
      <c r="G401">
        <v>4.4000000000000004</v>
      </c>
      <c r="H401" t="str">
        <f t="shared" si="62"/>
        <v>Moderate Use</v>
      </c>
      <c r="I401" t="s">
        <v>17</v>
      </c>
      <c r="J401" t="s">
        <v>18</v>
      </c>
      <c r="K401">
        <v>7.5</v>
      </c>
      <c r="L401" t="str">
        <f t="shared" si="63"/>
        <v>Sufficient Sleep</v>
      </c>
      <c r="M401">
        <v>6</v>
      </c>
      <c r="N401" t="str">
        <f t="shared" si="64"/>
        <v>Moderate</v>
      </c>
      <c r="O401" t="s">
        <v>28</v>
      </c>
      <c r="P401">
        <v>7</v>
      </c>
      <c r="Q401" t="str">
        <f t="shared" si="66"/>
        <v>High</v>
      </c>
    </row>
    <row r="402" spans="1:17" hidden="1" x14ac:dyDescent="0.3">
      <c r="A402">
        <v>402</v>
      </c>
      <c r="B402">
        <v>21</v>
      </c>
      <c r="C402" t="str">
        <f t="shared" si="61"/>
        <v>Young Adult</v>
      </c>
      <c r="D402" t="s">
        <v>21</v>
      </c>
      <c r="E402" t="s">
        <v>22</v>
      </c>
      <c r="F402" t="s">
        <v>73</v>
      </c>
      <c r="G402">
        <v>3.2</v>
      </c>
      <c r="H402" t="str">
        <f t="shared" si="62"/>
        <v>Low Use</v>
      </c>
      <c r="I402" t="s">
        <v>41</v>
      </c>
      <c r="J402" t="s">
        <v>26</v>
      </c>
      <c r="K402">
        <v>8.6</v>
      </c>
      <c r="L402" t="str">
        <f t="shared" si="63"/>
        <v>Sufficient Sleep</v>
      </c>
      <c r="M402">
        <v>8</v>
      </c>
      <c r="N402" t="str">
        <f t="shared" si="64"/>
        <v>Sever</v>
      </c>
      <c r="O402" t="s">
        <v>20</v>
      </c>
      <c r="P402">
        <v>4</v>
      </c>
      <c r="Q402" t="str">
        <f t="shared" si="60"/>
        <v>Low</v>
      </c>
    </row>
    <row r="403" spans="1:17" hidden="1" x14ac:dyDescent="0.3">
      <c r="A403">
        <v>403</v>
      </c>
      <c r="B403">
        <v>20</v>
      </c>
      <c r="C403" t="str">
        <f t="shared" si="61"/>
        <v>Young Adult</v>
      </c>
      <c r="D403" t="s">
        <v>13</v>
      </c>
      <c r="E403" t="s">
        <v>14</v>
      </c>
      <c r="F403" t="s">
        <v>91</v>
      </c>
      <c r="G403">
        <v>4.0999999999999996</v>
      </c>
      <c r="H403" t="str">
        <f t="shared" si="62"/>
        <v>Moderate Use</v>
      </c>
      <c r="I403" t="s">
        <v>31</v>
      </c>
      <c r="J403" t="s">
        <v>18</v>
      </c>
      <c r="K403">
        <v>7.8</v>
      </c>
      <c r="L403" t="str">
        <f t="shared" si="63"/>
        <v>Sufficient Sleep</v>
      </c>
      <c r="M403">
        <v>7</v>
      </c>
      <c r="N403" t="str">
        <f t="shared" si="64"/>
        <v>Sever</v>
      </c>
      <c r="O403" t="s">
        <v>28</v>
      </c>
      <c r="P403">
        <v>6</v>
      </c>
      <c r="Q403" t="str">
        <f t="shared" si="60"/>
        <v>Medium</v>
      </c>
    </row>
    <row r="404" spans="1:17" x14ac:dyDescent="0.3">
      <c r="A404">
        <v>404</v>
      </c>
      <c r="B404">
        <v>22</v>
      </c>
      <c r="C404" t="str">
        <f t="shared" si="61"/>
        <v>Young Adult</v>
      </c>
      <c r="D404" t="s">
        <v>21</v>
      </c>
      <c r="E404" t="s">
        <v>22</v>
      </c>
      <c r="F404" t="s">
        <v>23</v>
      </c>
      <c r="G404">
        <v>6.6</v>
      </c>
      <c r="H404" t="str">
        <f t="shared" si="62"/>
        <v>Heavy Use</v>
      </c>
      <c r="I404" t="s">
        <v>214</v>
      </c>
      <c r="J404" t="s">
        <v>18</v>
      </c>
      <c r="K404">
        <v>5.7</v>
      </c>
      <c r="L404" t="str">
        <f t="shared" si="63"/>
        <v>Severly Deficient Sleep</v>
      </c>
      <c r="M404">
        <v>5</v>
      </c>
      <c r="N404" t="str">
        <f t="shared" si="64"/>
        <v>Moderate</v>
      </c>
      <c r="O404" t="s">
        <v>20</v>
      </c>
      <c r="P404">
        <v>8</v>
      </c>
      <c r="Q404" t="str">
        <f>IF(P404&gt;=7,"High",IF(P404&gt;=6,"Medium","Low"))</f>
        <v>High</v>
      </c>
    </row>
    <row r="405" spans="1:17" hidden="1" x14ac:dyDescent="0.3">
      <c r="A405">
        <v>405</v>
      </c>
      <c r="B405">
        <v>19</v>
      </c>
      <c r="C405" t="str">
        <f t="shared" si="61"/>
        <v>Teenager</v>
      </c>
      <c r="D405" t="s">
        <v>13</v>
      </c>
      <c r="E405" t="s">
        <v>14</v>
      </c>
      <c r="F405" t="s">
        <v>81</v>
      </c>
      <c r="G405">
        <v>3.1</v>
      </c>
      <c r="H405" t="str">
        <f t="shared" si="62"/>
        <v>Low Use</v>
      </c>
      <c r="I405" t="s">
        <v>17</v>
      </c>
      <c r="J405" t="s">
        <v>26</v>
      </c>
      <c r="K405">
        <v>8.6999999999999993</v>
      </c>
      <c r="L405" t="str">
        <f t="shared" si="63"/>
        <v>Sufficient Sleep</v>
      </c>
      <c r="M405">
        <v>8</v>
      </c>
      <c r="N405" t="str">
        <f t="shared" si="64"/>
        <v>Sever</v>
      </c>
      <c r="O405" t="s">
        <v>28</v>
      </c>
      <c r="P405">
        <v>4</v>
      </c>
      <c r="Q405" t="str">
        <f t="shared" si="60"/>
        <v>Low</v>
      </c>
    </row>
    <row r="406" spans="1:17" hidden="1" x14ac:dyDescent="0.3">
      <c r="A406">
        <v>406</v>
      </c>
      <c r="B406">
        <v>21</v>
      </c>
      <c r="C406" t="str">
        <f t="shared" si="61"/>
        <v>Young Adult</v>
      </c>
      <c r="D406" t="s">
        <v>21</v>
      </c>
      <c r="E406" t="s">
        <v>22</v>
      </c>
      <c r="F406" t="s">
        <v>109</v>
      </c>
      <c r="G406">
        <v>4.7</v>
      </c>
      <c r="H406" t="str">
        <f t="shared" si="62"/>
        <v>Moderate Use</v>
      </c>
      <c r="I406" t="s">
        <v>17</v>
      </c>
      <c r="J406" t="s">
        <v>18</v>
      </c>
      <c r="K406">
        <v>7.5</v>
      </c>
      <c r="L406" t="str">
        <f t="shared" si="63"/>
        <v>Sufficient Sleep</v>
      </c>
      <c r="M406">
        <v>6</v>
      </c>
      <c r="N406" t="str">
        <f t="shared" si="64"/>
        <v>Moderate</v>
      </c>
      <c r="O406" t="s">
        <v>28</v>
      </c>
      <c r="P406">
        <v>7</v>
      </c>
      <c r="Q406" t="str">
        <f t="shared" si="60"/>
        <v>High</v>
      </c>
    </row>
    <row r="407" spans="1:17" x14ac:dyDescent="0.3">
      <c r="A407">
        <v>407</v>
      </c>
      <c r="B407">
        <v>20</v>
      </c>
      <c r="C407" t="str">
        <f t="shared" si="61"/>
        <v>Young Adult</v>
      </c>
      <c r="D407" t="s">
        <v>13</v>
      </c>
      <c r="E407" t="s">
        <v>14</v>
      </c>
      <c r="F407" t="s">
        <v>29</v>
      </c>
      <c r="G407">
        <v>7.6</v>
      </c>
      <c r="H407" t="str">
        <f t="shared" si="62"/>
        <v>Heavy Use</v>
      </c>
      <c r="I407" t="s">
        <v>31</v>
      </c>
      <c r="J407" t="s">
        <v>18</v>
      </c>
      <c r="K407">
        <v>4.7</v>
      </c>
      <c r="L407" t="str">
        <f t="shared" si="63"/>
        <v>Severly Deficient Sleep</v>
      </c>
      <c r="M407">
        <v>5</v>
      </c>
      <c r="N407" t="str">
        <f t="shared" si="64"/>
        <v>Moderate</v>
      </c>
      <c r="O407" t="s">
        <v>20</v>
      </c>
      <c r="P407">
        <v>9</v>
      </c>
      <c r="Q407" t="str">
        <f>IF(P407&gt;=7,"High",IF(P407&gt;=6,"Medium","Low"))</f>
        <v>High</v>
      </c>
    </row>
    <row r="408" spans="1:17" hidden="1" x14ac:dyDescent="0.3">
      <c r="A408">
        <v>408</v>
      </c>
      <c r="B408">
        <v>22</v>
      </c>
      <c r="C408" t="str">
        <f t="shared" si="61"/>
        <v>Young Adult</v>
      </c>
      <c r="D408" t="s">
        <v>21</v>
      </c>
      <c r="E408" t="s">
        <v>22</v>
      </c>
      <c r="F408" t="s">
        <v>62</v>
      </c>
      <c r="G408">
        <v>6.4</v>
      </c>
      <c r="H408" t="str">
        <f t="shared" si="62"/>
        <v>Heavy Use</v>
      </c>
      <c r="I408" t="s">
        <v>214</v>
      </c>
      <c r="J408" t="s">
        <v>18</v>
      </c>
      <c r="K408">
        <v>5.8</v>
      </c>
      <c r="L408" t="str">
        <f t="shared" si="63"/>
        <v>Severly Deficient Sleep</v>
      </c>
      <c r="M408">
        <v>6</v>
      </c>
      <c r="N408" t="str">
        <f t="shared" si="64"/>
        <v>Moderate</v>
      </c>
      <c r="O408" t="s">
        <v>28</v>
      </c>
      <c r="P408">
        <v>7</v>
      </c>
      <c r="Q408" t="str">
        <f t="shared" si="60"/>
        <v>High</v>
      </c>
    </row>
    <row r="409" spans="1:17" x14ac:dyDescent="0.3">
      <c r="A409">
        <v>409</v>
      </c>
      <c r="B409">
        <v>19</v>
      </c>
      <c r="C409" t="str">
        <f t="shared" si="61"/>
        <v>Teenager</v>
      </c>
      <c r="D409" t="s">
        <v>13</v>
      </c>
      <c r="E409" t="s">
        <v>14</v>
      </c>
      <c r="F409" t="s">
        <v>55</v>
      </c>
      <c r="G409">
        <v>3.7</v>
      </c>
      <c r="H409" t="str">
        <f t="shared" si="62"/>
        <v>Low Use</v>
      </c>
      <c r="I409" t="s">
        <v>17</v>
      </c>
      <c r="J409" t="s">
        <v>26</v>
      </c>
      <c r="K409">
        <v>8.3000000000000007</v>
      </c>
      <c r="L409" t="str">
        <f t="shared" si="63"/>
        <v>Sufficient Sleep</v>
      </c>
      <c r="M409">
        <v>7</v>
      </c>
      <c r="N409" t="str">
        <f t="shared" si="64"/>
        <v>Sever</v>
      </c>
      <c r="O409" t="s">
        <v>20</v>
      </c>
      <c r="P409">
        <v>5</v>
      </c>
      <c r="Q409" t="str">
        <f t="shared" ref="Q409:Q411" si="67">IF(P409&gt;=7,"High",IF(P409&gt;=6,"Medium","Low"))</f>
        <v>Low</v>
      </c>
    </row>
    <row r="410" spans="1:17" x14ac:dyDescent="0.3">
      <c r="A410">
        <v>410</v>
      </c>
      <c r="B410">
        <v>21</v>
      </c>
      <c r="C410" t="str">
        <f t="shared" si="61"/>
        <v>Young Adult</v>
      </c>
      <c r="D410" t="s">
        <v>21</v>
      </c>
      <c r="E410" t="s">
        <v>22</v>
      </c>
      <c r="F410" t="s">
        <v>39</v>
      </c>
      <c r="G410">
        <v>4.5</v>
      </c>
      <c r="H410" t="str">
        <f t="shared" si="62"/>
        <v>Moderate Use</v>
      </c>
      <c r="I410" t="s">
        <v>17</v>
      </c>
      <c r="J410" t="s">
        <v>18</v>
      </c>
      <c r="K410">
        <v>7.7</v>
      </c>
      <c r="L410" t="str">
        <f t="shared" si="63"/>
        <v>Sufficient Sleep</v>
      </c>
      <c r="M410">
        <v>6</v>
      </c>
      <c r="N410" t="str">
        <f t="shared" si="64"/>
        <v>Moderate</v>
      </c>
      <c r="O410" t="s">
        <v>28</v>
      </c>
      <c r="P410">
        <v>7</v>
      </c>
      <c r="Q410" t="str">
        <f t="shared" si="67"/>
        <v>High</v>
      </c>
    </row>
    <row r="411" spans="1:17" x14ac:dyDescent="0.3">
      <c r="A411">
        <v>411</v>
      </c>
      <c r="B411">
        <v>20</v>
      </c>
      <c r="C411" t="str">
        <f t="shared" si="61"/>
        <v>Young Adult</v>
      </c>
      <c r="D411" t="s">
        <v>13</v>
      </c>
      <c r="E411" t="s">
        <v>14</v>
      </c>
      <c r="F411" t="s">
        <v>58</v>
      </c>
      <c r="G411">
        <v>4.3</v>
      </c>
      <c r="H411" t="str">
        <f t="shared" si="62"/>
        <v>Moderate Use</v>
      </c>
      <c r="I411" t="s">
        <v>31</v>
      </c>
      <c r="J411" t="s">
        <v>18</v>
      </c>
      <c r="K411">
        <v>7.6</v>
      </c>
      <c r="L411" t="str">
        <f t="shared" si="63"/>
        <v>Sufficient Sleep</v>
      </c>
      <c r="M411">
        <v>6</v>
      </c>
      <c r="N411" t="str">
        <f t="shared" si="64"/>
        <v>Moderate</v>
      </c>
      <c r="O411" t="s">
        <v>28</v>
      </c>
      <c r="P411">
        <v>7</v>
      </c>
      <c r="Q411" t="str">
        <f t="shared" si="67"/>
        <v>High</v>
      </c>
    </row>
    <row r="412" spans="1:17" hidden="1" x14ac:dyDescent="0.3">
      <c r="A412">
        <v>412</v>
      </c>
      <c r="B412">
        <v>22</v>
      </c>
      <c r="C412" t="str">
        <f t="shared" si="61"/>
        <v>Young Adult</v>
      </c>
      <c r="D412" t="s">
        <v>21</v>
      </c>
      <c r="E412" t="s">
        <v>22</v>
      </c>
      <c r="F412" t="s">
        <v>73</v>
      </c>
      <c r="G412">
        <v>3.1</v>
      </c>
      <c r="H412" t="str">
        <f t="shared" si="62"/>
        <v>Low Use</v>
      </c>
      <c r="I412" t="s">
        <v>41</v>
      </c>
      <c r="J412" t="s">
        <v>26</v>
      </c>
      <c r="K412">
        <v>8.6999999999999993</v>
      </c>
      <c r="L412" t="str">
        <f t="shared" si="63"/>
        <v>Sufficient Sleep</v>
      </c>
      <c r="M412">
        <v>8</v>
      </c>
      <c r="N412" t="str">
        <f t="shared" si="64"/>
        <v>Sever</v>
      </c>
      <c r="O412" t="s">
        <v>20</v>
      </c>
      <c r="P412">
        <v>4</v>
      </c>
      <c r="Q412" t="str">
        <f t="shared" si="60"/>
        <v>Low</v>
      </c>
    </row>
    <row r="413" spans="1:17" hidden="1" x14ac:dyDescent="0.3">
      <c r="A413">
        <v>413</v>
      </c>
      <c r="B413">
        <v>19</v>
      </c>
      <c r="C413" t="str">
        <f t="shared" si="61"/>
        <v>Teenager</v>
      </c>
      <c r="D413" t="s">
        <v>13</v>
      </c>
      <c r="E413" t="s">
        <v>14</v>
      </c>
      <c r="F413" t="s">
        <v>91</v>
      </c>
      <c r="G413">
        <v>4</v>
      </c>
      <c r="H413" t="str">
        <f t="shared" si="62"/>
        <v>Moderate Use</v>
      </c>
      <c r="I413" t="s">
        <v>17</v>
      </c>
      <c r="J413" t="s">
        <v>18</v>
      </c>
      <c r="K413">
        <v>7.9</v>
      </c>
      <c r="L413" t="str">
        <f t="shared" si="63"/>
        <v>Sufficient Sleep</v>
      </c>
      <c r="M413">
        <v>7</v>
      </c>
      <c r="N413" t="str">
        <f t="shared" si="64"/>
        <v>Sever</v>
      </c>
      <c r="O413" t="s">
        <v>28</v>
      </c>
      <c r="P413">
        <v>6</v>
      </c>
      <c r="Q413" t="str">
        <f t="shared" si="60"/>
        <v>Medium</v>
      </c>
    </row>
    <row r="414" spans="1:17" x14ac:dyDescent="0.3">
      <c r="A414">
        <v>414</v>
      </c>
      <c r="B414">
        <v>21</v>
      </c>
      <c r="C414" t="str">
        <f t="shared" si="61"/>
        <v>Young Adult</v>
      </c>
      <c r="D414" t="s">
        <v>21</v>
      </c>
      <c r="E414" t="s">
        <v>22</v>
      </c>
      <c r="F414" t="s">
        <v>23</v>
      </c>
      <c r="G414">
        <v>6.7</v>
      </c>
      <c r="H414" t="str">
        <f t="shared" si="62"/>
        <v>Heavy Use</v>
      </c>
      <c r="I414" t="s">
        <v>214</v>
      </c>
      <c r="J414" t="s">
        <v>18</v>
      </c>
      <c r="K414">
        <v>5.6</v>
      </c>
      <c r="L414" t="str">
        <f t="shared" si="63"/>
        <v>Severly Deficient Sleep</v>
      </c>
      <c r="M414">
        <v>5</v>
      </c>
      <c r="N414" t="str">
        <f t="shared" si="64"/>
        <v>Moderate</v>
      </c>
      <c r="O414" t="s">
        <v>20</v>
      </c>
      <c r="P414">
        <v>8</v>
      </c>
      <c r="Q414" t="str">
        <f>IF(P414&gt;=7,"High",IF(P414&gt;=6,"Medium","Low"))</f>
        <v>High</v>
      </c>
    </row>
    <row r="415" spans="1:17" hidden="1" x14ac:dyDescent="0.3">
      <c r="A415">
        <v>415</v>
      </c>
      <c r="B415">
        <v>20</v>
      </c>
      <c r="C415" t="str">
        <f t="shared" si="61"/>
        <v>Young Adult</v>
      </c>
      <c r="D415" t="s">
        <v>13</v>
      </c>
      <c r="E415" t="s">
        <v>14</v>
      </c>
      <c r="F415" t="s">
        <v>81</v>
      </c>
      <c r="G415">
        <v>3</v>
      </c>
      <c r="H415" t="str">
        <f t="shared" si="62"/>
        <v>Low Use</v>
      </c>
      <c r="I415" t="s">
        <v>17</v>
      </c>
      <c r="J415" t="s">
        <v>26</v>
      </c>
      <c r="K415">
        <v>8.8000000000000007</v>
      </c>
      <c r="L415" t="str">
        <f t="shared" si="63"/>
        <v>Sufficient Sleep</v>
      </c>
      <c r="M415">
        <v>8</v>
      </c>
      <c r="N415" t="str">
        <f t="shared" si="64"/>
        <v>Sever</v>
      </c>
      <c r="O415" t="s">
        <v>28</v>
      </c>
      <c r="P415">
        <v>4</v>
      </c>
      <c r="Q415" t="str">
        <f t="shared" si="60"/>
        <v>Low</v>
      </c>
    </row>
    <row r="416" spans="1:17" hidden="1" x14ac:dyDescent="0.3">
      <c r="A416">
        <v>416</v>
      </c>
      <c r="B416">
        <v>22</v>
      </c>
      <c r="C416" t="str">
        <f t="shared" si="61"/>
        <v>Young Adult</v>
      </c>
      <c r="D416" t="s">
        <v>21</v>
      </c>
      <c r="E416" t="s">
        <v>22</v>
      </c>
      <c r="F416" t="s">
        <v>109</v>
      </c>
      <c r="G416">
        <v>4.5999999999999996</v>
      </c>
      <c r="H416" t="str">
        <f t="shared" si="62"/>
        <v>Moderate Use</v>
      </c>
      <c r="I416" t="s">
        <v>31</v>
      </c>
      <c r="J416" t="s">
        <v>18</v>
      </c>
      <c r="K416">
        <v>7.6</v>
      </c>
      <c r="L416" t="str">
        <f t="shared" si="63"/>
        <v>Sufficient Sleep</v>
      </c>
      <c r="M416">
        <v>6</v>
      </c>
      <c r="N416" t="str">
        <f t="shared" si="64"/>
        <v>Moderate</v>
      </c>
      <c r="O416" t="s">
        <v>28</v>
      </c>
      <c r="P416">
        <v>7</v>
      </c>
      <c r="Q416" t="str">
        <f t="shared" si="60"/>
        <v>High</v>
      </c>
    </row>
    <row r="417" spans="1:17" x14ac:dyDescent="0.3">
      <c r="A417">
        <v>417</v>
      </c>
      <c r="B417">
        <v>19</v>
      </c>
      <c r="C417" t="str">
        <f t="shared" si="61"/>
        <v>Teenager</v>
      </c>
      <c r="D417" t="s">
        <v>13</v>
      </c>
      <c r="E417" t="s">
        <v>14</v>
      </c>
      <c r="F417" t="s">
        <v>29</v>
      </c>
      <c r="G417">
        <v>7.7</v>
      </c>
      <c r="H417" t="str">
        <f t="shared" si="62"/>
        <v>Heavy Use</v>
      </c>
      <c r="I417" t="s">
        <v>17</v>
      </c>
      <c r="J417" t="s">
        <v>18</v>
      </c>
      <c r="K417">
        <v>4.5999999999999996</v>
      </c>
      <c r="L417" t="str">
        <f t="shared" si="63"/>
        <v>Severly Deficient Sleep</v>
      </c>
      <c r="M417">
        <v>5</v>
      </c>
      <c r="N417" t="str">
        <f t="shared" si="64"/>
        <v>Moderate</v>
      </c>
      <c r="O417" t="s">
        <v>20</v>
      </c>
      <c r="P417">
        <v>9</v>
      </c>
      <c r="Q417" t="str">
        <f>IF(P417&gt;=7,"High",IF(P417&gt;=6,"Medium","Low"))</f>
        <v>High</v>
      </c>
    </row>
    <row r="418" spans="1:17" hidden="1" x14ac:dyDescent="0.3">
      <c r="A418">
        <v>418</v>
      </c>
      <c r="B418">
        <v>21</v>
      </c>
      <c r="C418" t="str">
        <f t="shared" si="61"/>
        <v>Young Adult</v>
      </c>
      <c r="D418" t="s">
        <v>21</v>
      </c>
      <c r="E418" t="s">
        <v>22</v>
      </c>
      <c r="F418" t="s">
        <v>62</v>
      </c>
      <c r="G418">
        <v>6.5</v>
      </c>
      <c r="H418" t="str">
        <f t="shared" si="62"/>
        <v>Heavy Use</v>
      </c>
      <c r="I418" t="s">
        <v>214</v>
      </c>
      <c r="J418" t="s">
        <v>18</v>
      </c>
      <c r="K418">
        <v>5.7</v>
      </c>
      <c r="L418" t="str">
        <f t="shared" si="63"/>
        <v>Severly Deficient Sleep</v>
      </c>
      <c r="M418">
        <v>6</v>
      </c>
      <c r="N418" t="str">
        <f t="shared" si="64"/>
        <v>Moderate</v>
      </c>
      <c r="O418" t="s">
        <v>28</v>
      </c>
      <c r="P418">
        <v>7</v>
      </c>
      <c r="Q418" t="str">
        <f t="shared" si="60"/>
        <v>High</v>
      </c>
    </row>
    <row r="419" spans="1:17" x14ac:dyDescent="0.3">
      <c r="A419">
        <v>419</v>
      </c>
      <c r="B419">
        <v>20</v>
      </c>
      <c r="C419" t="str">
        <f t="shared" si="61"/>
        <v>Young Adult</v>
      </c>
      <c r="D419" t="s">
        <v>13</v>
      </c>
      <c r="E419" t="s">
        <v>14</v>
      </c>
      <c r="F419" t="s">
        <v>55</v>
      </c>
      <c r="G419">
        <v>3.6</v>
      </c>
      <c r="H419" t="str">
        <f t="shared" si="62"/>
        <v>Low Use</v>
      </c>
      <c r="I419" t="s">
        <v>17</v>
      </c>
      <c r="J419" t="s">
        <v>26</v>
      </c>
      <c r="K419">
        <v>8.4</v>
      </c>
      <c r="L419" t="str">
        <f t="shared" si="63"/>
        <v>Sufficient Sleep</v>
      </c>
      <c r="M419">
        <v>7</v>
      </c>
      <c r="N419" t="str">
        <f t="shared" si="64"/>
        <v>Sever</v>
      </c>
      <c r="O419" t="s">
        <v>20</v>
      </c>
      <c r="P419">
        <v>5</v>
      </c>
      <c r="Q419" t="str">
        <f t="shared" ref="Q419:Q421" si="68">IF(P419&gt;=7,"High",IF(P419&gt;=6,"Medium","Low"))</f>
        <v>Low</v>
      </c>
    </row>
    <row r="420" spans="1:17" x14ac:dyDescent="0.3">
      <c r="A420">
        <v>420</v>
      </c>
      <c r="B420">
        <v>22</v>
      </c>
      <c r="C420" t="str">
        <f t="shared" si="61"/>
        <v>Young Adult</v>
      </c>
      <c r="D420" t="s">
        <v>21</v>
      </c>
      <c r="E420" t="s">
        <v>22</v>
      </c>
      <c r="F420" t="s">
        <v>39</v>
      </c>
      <c r="G420">
        <v>4.4000000000000004</v>
      </c>
      <c r="H420" t="str">
        <f t="shared" si="62"/>
        <v>Moderate Use</v>
      </c>
      <c r="I420" t="s">
        <v>31</v>
      </c>
      <c r="J420" t="s">
        <v>18</v>
      </c>
      <c r="K420">
        <v>7.8</v>
      </c>
      <c r="L420" t="str">
        <f t="shared" si="63"/>
        <v>Sufficient Sleep</v>
      </c>
      <c r="M420">
        <v>6</v>
      </c>
      <c r="N420" t="str">
        <f t="shared" si="64"/>
        <v>Moderate</v>
      </c>
      <c r="O420" t="s">
        <v>28</v>
      </c>
      <c r="P420">
        <v>7</v>
      </c>
      <c r="Q420" t="str">
        <f t="shared" si="68"/>
        <v>High</v>
      </c>
    </row>
    <row r="421" spans="1:17" x14ac:dyDescent="0.3">
      <c r="A421">
        <v>421</v>
      </c>
      <c r="B421">
        <v>19</v>
      </c>
      <c r="C421" t="str">
        <f t="shared" si="61"/>
        <v>Teenager</v>
      </c>
      <c r="D421" t="s">
        <v>13</v>
      </c>
      <c r="E421" t="s">
        <v>14</v>
      </c>
      <c r="F421" t="s">
        <v>58</v>
      </c>
      <c r="G421">
        <v>4.2</v>
      </c>
      <c r="H421" t="str">
        <f t="shared" si="62"/>
        <v>Moderate Use</v>
      </c>
      <c r="I421" t="s">
        <v>17</v>
      </c>
      <c r="J421" t="s">
        <v>18</v>
      </c>
      <c r="K421">
        <v>7.7</v>
      </c>
      <c r="L421" t="str">
        <f t="shared" si="63"/>
        <v>Sufficient Sleep</v>
      </c>
      <c r="M421">
        <v>6</v>
      </c>
      <c r="N421" t="str">
        <f t="shared" si="64"/>
        <v>Moderate</v>
      </c>
      <c r="O421" t="s">
        <v>28</v>
      </c>
      <c r="P421">
        <v>7</v>
      </c>
      <c r="Q421" t="str">
        <f t="shared" si="68"/>
        <v>High</v>
      </c>
    </row>
    <row r="422" spans="1:17" hidden="1" x14ac:dyDescent="0.3">
      <c r="A422">
        <v>422</v>
      </c>
      <c r="B422">
        <v>21</v>
      </c>
      <c r="C422" t="str">
        <f t="shared" si="61"/>
        <v>Young Adult</v>
      </c>
      <c r="D422" t="s">
        <v>21</v>
      </c>
      <c r="E422" t="s">
        <v>22</v>
      </c>
      <c r="F422" t="s">
        <v>73</v>
      </c>
      <c r="G422">
        <v>3</v>
      </c>
      <c r="H422" t="str">
        <f t="shared" si="62"/>
        <v>Low Use</v>
      </c>
      <c r="I422" t="s">
        <v>41</v>
      </c>
      <c r="J422" t="s">
        <v>26</v>
      </c>
      <c r="K422">
        <v>8.8000000000000007</v>
      </c>
      <c r="L422" t="str">
        <f t="shared" si="63"/>
        <v>Sufficient Sleep</v>
      </c>
      <c r="M422">
        <v>8</v>
      </c>
      <c r="N422" t="str">
        <f t="shared" si="64"/>
        <v>Sever</v>
      </c>
      <c r="O422" t="s">
        <v>20</v>
      </c>
      <c r="P422">
        <v>4</v>
      </c>
      <c r="Q422" t="str">
        <f t="shared" si="60"/>
        <v>Low</v>
      </c>
    </row>
    <row r="423" spans="1:17" hidden="1" x14ac:dyDescent="0.3">
      <c r="A423">
        <v>423</v>
      </c>
      <c r="B423">
        <v>20</v>
      </c>
      <c r="C423" t="str">
        <f t="shared" si="61"/>
        <v>Young Adult</v>
      </c>
      <c r="D423" t="s">
        <v>13</v>
      </c>
      <c r="E423" t="s">
        <v>14</v>
      </c>
      <c r="F423" t="s">
        <v>91</v>
      </c>
      <c r="G423">
        <v>3.9</v>
      </c>
      <c r="H423" t="str">
        <f t="shared" si="62"/>
        <v>Low Use</v>
      </c>
      <c r="I423" t="s">
        <v>31</v>
      </c>
      <c r="J423" t="s">
        <v>18</v>
      </c>
      <c r="K423">
        <v>8</v>
      </c>
      <c r="L423" t="str">
        <f t="shared" si="63"/>
        <v>Sufficient Sleep</v>
      </c>
      <c r="M423">
        <v>7</v>
      </c>
      <c r="N423" t="str">
        <f t="shared" si="64"/>
        <v>Sever</v>
      </c>
      <c r="O423" t="s">
        <v>28</v>
      </c>
      <c r="P423">
        <v>6</v>
      </c>
      <c r="Q423" t="str">
        <f t="shared" si="60"/>
        <v>Medium</v>
      </c>
    </row>
    <row r="424" spans="1:17" x14ac:dyDescent="0.3">
      <c r="A424">
        <v>424</v>
      </c>
      <c r="B424">
        <v>22</v>
      </c>
      <c r="C424" t="str">
        <f t="shared" si="61"/>
        <v>Young Adult</v>
      </c>
      <c r="D424" t="s">
        <v>21</v>
      </c>
      <c r="E424" t="s">
        <v>22</v>
      </c>
      <c r="F424" t="s">
        <v>23</v>
      </c>
      <c r="G424">
        <v>6.8</v>
      </c>
      <c r="H424" t="str">
        <f t="shared" si="62"/>
        <v>Heavy Use</v>
      </c>
      <c r="I424" t="s">
        <v>214</v>
      </c>
      <c r="J424" t="s">
        <v>18</v>
      </c>
      <c r="K424">
        <v>5.5</v>
      </c>
      <c r="L424" t="str">
        <f t="shared" si="63"/>
        <v>Severly Deficient Sleep</v>
      </c>
      <c r="M424">
        <v>5</v>
      </c>
      <c r="N424" t="str">
        <f t="shared" si="64"/>
        <v>Moderate</v>
      </c>
      <c r="O424" t="s">
        <v>20</v>
      </c>
      <c r="P424">
        <v>8</v>
      </c>
      <c r="Q424" t="str">
        <f>IF(P424&gt;=7,"High",IF(P424&gt;=6,"Medium","Low"))</f>
        <v>High</v>
      </c>
    </row>
    <row r="425" spans="1:17" hidden="1" x14ac:dyDescent="0.3">
      <c r="A425">
        <v>425</v>
      </c>
      <c r="B425">
        <v>19</v>
      </c>
      <c r="C425" t="str">
        <f t="shared" si="61"/>
        <v>Teenager</v>
      </c>
      <c r="D425" t="s">
        <v>13</v>
      </c>
      <c r="E425" t="s">
        <v>14</v>
      </c>
      <c r="F425" t="s">
        <v>81</v>
      </c>
      <c r="G425">
        <v>2.9</v>
      </c>
      <c r="H425" t="str">
        <f t="shared" si="62"/>
        <v>Low Use</v>
      </c>
      <c r="I425" t="s">
        <v>17</v>
      </c>
      <c r="J425" t="s">
        <v>26</v>
      </c>
      <c r="K425">
        <v>8.9</v>
      </c>
      <c r="L425" t="str">
        <f t="shared" si="63"/>
        <v>Sufficient Sleep</v>
      </c>
      <c r="M425">
        <v>8</v>
      </c>
      <c r="N425" t="str">
        <f t="shared" si="64"/>
        <v>Sever</v>
      </c>
      <c r="O425" t="s">
        <v>28</v>
      </c>
      <c r="P425">
        <v>4</v>
      </c>
      <c r="Q425" t="str">
        <f t="shared" si="60"/>
        <v>Low</v>
      </c>
    </row>
    <row r="426" spans="1:17" hidden="1" x14ac:dyDescent="0.3">
      <c r="A426">
        <v>426</v>
      </c>
      <c r="B426">
        <v>21</v>
      </c>
      <c r="C426" t="str">
        <f t="shared" si="61"/>
        <v>Young Adult</v>
      </c>
      <c r="D426" t="s">
        <v>21</v>
      </c>
      <c r="E426" t="s">
        <v>22</v>
      </c>
      <c r="F426" t="s">
        <v>109</v>
      </c>
      <c r="G426">
        <v>4.5</v>
      </c>
      <c r="H426" t="str">
        <f t="shared" si="62"/>
        <v>Moderate Use</v>
      </c>
      <c r="I426" t="s">
        <v>17</v>
      </c>
      <c r="J426" t="s">
        <v>18</v>
      </c>
      <c r="K426">
        <v>7.7</v>
      </c>
      <c r="L426" t="str">
        <f t="shared" si="63"/>
        <v>Sufficient Sleep</v>
      </c>
      <c r="M426">
        <v>6</v>
      </c>
      <c r="N426" t="str">
        <f t="shared" si="64"/>
        <v>Moderate</v>
      </c>
      <c r="O426" t="s">
        <v>28</v>
      </c>
      <c r="P426">
        <v>7</v>
      </c>
      <c r="Q426" t="str">
        <f t="shared" si="60"/>
        <v>High</v>
      </c>
    </row>
    <row r="427" spans="1:17" x14ac:dyDescent="0.3">
      <c r="A427">
        <v>427</v>
      </c>
      <c r="B427">
        <v>20</v>
      </c>
      <c r="C427" t="str">
        <f t="shared" si="61"/>
        <v>Young Adult</v>
      </c>
      <c r="D427" t="s">
        <v>13</v>
      </c>
      <c r="E427" t="s">
        <v>14</v>
      </c>
      <c r="F427" t="s">
        <v>29</v>
      </c>
      <c r="G427">
        <v>7.8</v>
      </c>
      <c r="H427" t="str">
        <f t="shared" si="62"/>
        <v>Heavy Use</v>
      </c>
      <c r="I427" t="s">
        <v>31</v>
      </c>
      <c r="J427" t="s">
        <v>18</v>
      </c>
      <c r="K427">
        <v>4.5</v>
      </c>
      <c r="L427" t="str">
        <f t="shared" si="63"/>
        <v>Severly Deficient Sleep</v>
      </c>
      <c r="M427">
        <v>5</v>
      </c>
      <c r="N427" t="str">
        <f t="shared" si="64"/>
        <v>Moderate</v>
      </c>
      <c r="O427" t="s">
        <v>20</v>
      </c>
      <c r="P427">
        <v>9</v>
      </c>
      <c r="Q427" t="str">
        <f>IF(P427&gt;=7,"High",IF(P427&gt;=6,"Medium","Low"))</f>
        <v>High</v>
      </c>
    </row>
    <row r="428" spans="1:17" hidden="1" x14ac:dyDescent="0.3">
      <c r="A428">
        <v>428</v>
      </c>
      <c r="B428">
        <v>22</v>
      </c>
      <c r="C428" t="str">
        <f t="shared" si="61"/>
        <v>Young Adult</v>
      </c>
      <c r="D428" t="s">
        <v>21</v>
      </c>
      <c r="E428" t="s">
        <v>22</v>
      </c>
      <c r="F428" t="s">
        <v>62</v>
      </c>
      <c r="G428">
        <v>6.6</v>
      </c>
      <c r="H428" t="str">
        <f t="shared" si="62"/>
        <v>Heavy Use</v>
      </c>
      <c r="I428" t="s">
        <v>214</v>
      </c>
      <c r="J428" t="s">
        <v>18</v>
      </c>
      <c r="K428">
        <v>5.6</v>
      </c>
      <c r="L428" t="str">
        <f t="shared" si="63"/>
        <v>Severly Deficient Sleep</v>
      </c>
      <c r="M428">
        <v>6</v>
      </c>
      <c r="N428" t="str">
        <f t="shared" si="64"/>
        <v>Moderate</v>
      </c>
      <c r="O428" t="s">
        <v>28</v>
      </c>
      <c r="P428">
        <v>7</v>
      </c>
      <c r="Q428" t="str">
        <f t="shared" si="60"/>
        <v>High</v>
      </c>
    </row>
    <row r="429" spans="1:17" x14ac:dyDescent="0.3">
      <c r="A429">
        <v>429</v>
      </c>
      <c r="B429">
        <v>19</v>
      </c>
      <c r="C429" t="str">
        <f t="shared" si="61"/>
        <v>Teenager</v>
      </c>
      <c r="D429" t="s">
        <v>13</v>
      </c>
      <c r="E429" t="s">
        <v>14</v>
      </c>
      <c r="F429" t="s">
        <v>55</v>
      </c>
      <c r="G429">
        <v>3.5</v>
      </c>
      <c r="H429" t="str">
        <f t="shared" si="62"/>
        <v>Low Use</v>
      </c>
      <c r="I429" t="s">
        <v>17</v>
      </c>
      <c r="J429" t="s">
        <v>26</v>
      </c>
      <c r="K429">
        <v>8.5</v>
      </c>
      <c r="L429" t="str">
        <f t="shared" si="63"/>
        <v>Sufficient Sleep</v>
      </c>
      <c r="M429">
        <v>7</v>
      </c>
      <c r="N429" t="str">
        <f t="shared" si="64"/>
        <v>Sever</v>
      </c>
      <c r="O429" t="s">
        <v>20</v>
      </c>
      <c r="P429">
        <v>5</v>
      </c>
      <c r="Q429" t="str">
        <f t="shared" ref="Q429:Q431" si="69">IF(P429&gt;=7,"High",IF(P429&gt;=6,"Medium","Low"))</f>
        <v>Low</v>
      </c>
    </row>
    <row r="430" spans="1:17" x14ac:dyDescent="0.3">
      <c r="A430">
        <v>430</v>
      </c>
      <c r="B430">
        <v>21</v>
      </c>
      <c r="C430" t="str">
        <f t="shared" si="61"/>
        <v>Young Adult</v>
      </c>
      <c r="D430" t="s">
        <v>21</v>
      </c>
      <c r="E430" t="s">
        <v>22</v>
      </c>
      <c r="F430" t="s">
        <v>39</v>
      </c>
      <c r="G430">
        <v>4.3</v>
      </c>
      <c r="H430" t="str">
        <f t="shared" si="62"/>
        <v>Moderate Use</v>
      </c>
      <c r="I430" t="s">
        <v>17</v>
      </c>
      <c r="J430" t="s">
        <v>18</v>
      </c>
      <c r="K430">
        <v>7.9</v>
      </c>
      <c r="L430" t="str">
        <f t="shared" si="63"/>
        <v>Sufficient Sleep</v>
      </c>
      <c r="M430">
        <v>6</v>
      </c>
      <c r="N430" t="str">
        <f t="shared" si="64"/>
        <v>Moderate</v>
      </c>
      <c r="O430" t="s">
        <v>28</v>
      </c>
      <c r="P430">
        <v>7</v>
      </c>
      <c r="Q430" t="str">
        <f t="shared" si="69"/>
        <v>High</v>
      </c>
    </row>
    <row r="431" spans="1:17" x14ac:dyDescent="0.3">
      <c r="A431">
        <v>431</v>
      </c>
      <c r="B431">
        <v>20</v>
      </c>
      <c r="C431" t="str">
        <f t="shared" si="61"/>
        <v>Young Adult</v>
      </c>
      <c r="D431" t="s">
        <v>13</v>
      </c>
      <c r="E431" t="s">
        <v>14</v>
      </c>
      <c r="F431" t="s">
        <v>58</v>
      </c>
      <c r="G431">
        <v>4.0999999999999996</v>
      </c>
      <c r="H431" t="str">
        <f t="shared" si="62"/>
        <v>Moderate Use</v>
      </c>
      <c r="I431" t="s">
        <v>31</v>
      </c>
      <c r="J431" t="s">
        <v>18</v>
      </c>
      <c r="K431">
        <v>7.8</v>
      </c>
      <c r="L431" t="str">
        <f t="shared" si="63"/>
        <v>Sufficient Sleep</v>
      </c>
      <c r="M431">
        <v>6</v>
      </c>
      <c r="N431" t="str">
        <f t="shared" si="64"/>
        <v>Moderate</v>
      </c>
      <c r="O431" t="s">
        <v>28</v>
      </c>
      <c r="P431">
        <v>7</v>
      </c>
      <c r="Q431" t="str">
        <f t="shared" si="69"/>
        <v>High</v>
      </c>
    </row>
    <row r="432" spans="1:17" hidden="1" x14ac:dyDescent="0.3">
      <c r="A432">
        <v>432</v>
      </c>
      <c r="B432">
        <v>22</v>
      </c>
      <c r="C432" t="str">
        <f t="shared" si="61"/>
        <v>Young Adult</v>
      </c>
      <c r="D432" t="s">
        <v>21</v>
      </c>
      <c r="E432" t="s">
        <v>22</v>
      </c>
      <c r="F432" t="s">
        <v>73</v>
      </c>
      <c r="G432">
        <v>2.9</v>
      </c>
      <c r="H432" t="str">
        <f t="shared" si="62"/>
        <v>Low Use</v>
      </c>
      <c r="I432" t="s">
        <v>41</v>
      </c>
      <c r="J432" t="s">
        <v>26</v>
      </c>
      <c r="K432">
        <v>8.9</v>
      </c>
      <c r="L432" t="str">
        <f t="shared" si="63"/>
        <v>Sufficient Sleep</v>
      </c>
      <c r="M432">
        <v>8</v>
      </c>
      <c r="N432" t="str">
        <f t="shared" si="64"/>
        <v>Sever</v>
      </c>
      <c r="O432" t="s">
        <v>20</v>
      </c>
      <c r="P432">
        <v>4</v>
      </c>
      <c r="Q432" t="str">
        <f t="shared" si="60"/>
        <v>Low</v>
      </c>
    </row>
    <row r="433" spans="1:17" hidden="1" x14ac:dyDescent="0.3">
      <c r="A433">
        <v>433</v>
      </c>
      <c r="B433">
        <v>19</v>
      </c>
      <c r="C433" t="str">
        <f t="shared" si="61"/>
        <v>Teenager</v>
      </c>
      <c r="D433" t="s">
        <v>13</v>
      </c>
      <c r="E433" t="s">
        <v>14</v>
      </c>
      <c r="F433" t="s">
        <v>91</v>
      </c>
      <c r="G433">
        <v>3.8</v>
      </c>
      <c r="H433" t="str">
        <f t="shared" si="62"/>
        <v>Low Use</v>
      </c>
      <c r="I433" t="s">
        <v>17</v>
      </c>
      <c r="J433" t="s">
        <v>18</v>
      </c>
      <c r="K433">
        <v>8.1</v>
      </c>
      <c r="L433" t="str">
        <f t="shared" si="63"/>
        <v>Sufficient Sleep</v>
      </c>
      <c r="M433">
        <v>7</v>
      </c>
      <c r="N433" t="str">
        <f t="shared" si="64"/>
        <v>Sever</v>
      </c>
      <c r="O433" t="s">
        <v>28</v>
      </c>
      <c r="P433">
        <v>6</v>
      </c>
      <c r="Q433" t="str">
        <f t="shared" si="60"/>
        <v>Medium</v>
      </c>
    </row>
    <row r="434" spans="1:17" x14ac:dyDescent="0.3">
      <c r="A434">
        <v>434</v>
      </c>
      <c r="B434">
        <v>21</v>
      </c>
      <c r="C434" t="str">
        <f t="shared" si="61"/>
        <v>Young Adult</v>
      </c>
      <c r="D434" t="s">
        <v>21</v>
      </c>
      <c r="E434" t="s">
        <v>22</v>
      </c>
      <c r="F434" t="s">
        <v>23</v>
      </c>
      <c r="G434">
        <v>6.9</v>
      </c>
      <c r="H434" t="str">
        <f t="shared" si="62"/>
        <v>Heavy Use</v>
      </c>
      <c r="I434" t="s">
        <v>214</v>
      </c>
      <c r="J434" t="s">
        <v>18</v>
      </c>
      <c r="K434">
        <v>5.4</v>
      </c>
      <c r="L434" t="str">
        <f t="shared" si="63"/>
        <v>Severly Deficient Sleep</v>
      </c>
      <c r="M434">
        <v>5</v>
      </c>
      <c r="N434" t="str">
        <f t="shared" si="64"/>
        <v>Moderate</v>
      </c>
      <c r="O434" t="s">
        <v>20</v>
      </c>
      <c r="P434">
        <v>8</v>
      </c>
      <c r="Q434" t="str">
        <f>IF(P434&gt;=7,"High",IF(P434&gt;=6,"Medium","Low"))</f>
        <v>High</v>
      </c>
    </row>
    <row r="435" spans="1:17" hidden="1" x14ac:dyDescent="0.3">
      <c r="A435">
        <v>435</v>
      </c>
      <c r="B435">
        <v>20</v>
      </c>
      <c r="C435" t="str">
        <f t="shared" si="61"/>
        <v>Young Adult</v>
      </c>
      <c r="D435" t="s">
        <v>13</v>
      </c>
      <c r="E435" t="s">
        <v>14</v>
      </c>
      <c r="F435" t="s">
        <v>81</v>
      </c>
      <c r="G435">
        <v>2.8</v>
      </c>
      <c r="H435" t="str">
        <f t="shared" si="62"/>
        <v>Low Use</v>
      </c>
      <c r="I435" t="s">
        <v>17</v>
      </c>
      <c r="J435" t="s">
        <v>26</v>
      </c>
      <c r="K435">
        <v>9</v>
      </c>
      <c r="L435" t="str">
        <f t="shared" si="63"/>
        <v>Excessive Sleep</v>
      </c>
      <c r="M435">
        <v>8</v>
      </c>
      <c r="N435" t="str">
        <f t="shared" si="64"/>
        <v>Sever</v>
      </c>
      <c r="O435" t="s">
        <v>28</v>
      </c>
      <c r="P435">
        <v>4</v>
      </c>
      <c r="Q435" t="str">
        <f t="shared" si="60"/>
        <v>Low</v>
      </c>
    </row>
    <row r="436" spans="1:17" hidden="1" x14ac:dyDescent="0.3">
      <c r="A436">
        <v>436</v>
      </c>
      <c r="B436">
        <v>22</v>
      </c>
      <c r="C436" t="str">
        <f t="shared" si="61"/>
        <v>Young Adult</v>
      </c>
      <c r="D436" t="s">
        <v>21</v>
      </c>
      <c r="E436" t="s">
        <v>22</v>
      </c>
      <c r="F436" t="s">
        <v>109</v>
      </c>
      <c r="G436">
        <v>4.4000000000000004</v>
      </c>
      <c r="H436" t="str">
        <f t="shared" si="62"/>
        <v>Moderate Use</v>
      </c>
      <c r="I436" t="s">
        <v>31</v>
      </c>
      <c r="J436" t="s">
        <v>18</v>
      </c>
      <c r="K436">
        <v>7.8</v>
      </c>
      <c r="L436" t="str">
        <f t="shared" si="63"/>
        <v>Sufficient Sleep</v>
      </c>
      <c r="M436">
        <v>6</v>
      </c>
      <c r="N436" t="str">
        <f t="shared" si="64"/>
        <v>Moderate</v>
      </c>
      <c r="O436" t="s">
        <v>28</v>
      </c>
      <c r="P436">
        <v>7</v>
      </c>
      <c r="Q436" t="str">
        <f t="shared" si="60"/>
        <v>High</v>
      </c>
    </row>
    <row r="437" spans="1:17" x14ac:dyDescent="0.3">
      <c r="A437">
        <v>437</v>
      </c>
      <c r="B437">
        <v>19</v>
      </c>
      <c r="C437" t="str">
        <f t="shared" si="61"/>
        <v>Teenager</v>
      </c>
      <c r="D437" t="s">
        <v>13</v>
      </c>
      <c r="E437" t="s">
        <v>14</v>
      </c>
      <c r="F437" t="s">
        <v>29</v>
      </c>
      <c r="G437">
        <v>7.9</v>
      </c>
      <c r="H437" t="str">
        <f t="shared" si="62"/>
        <v>Heavy Use</v>
      </c>
      <c r="I437" t="s">
        <v>17</v>
      </c>
      <c r="J437" t="s">
        <v>18</v>
      </c>
      <c r="K437">
        <v>4.4000000000000004</v>
      </c>
      <c r="L437" t="str">
        <f t="shared" si="63"/>
        <v>Severly Deficient Sleep</v>
      </c>
      <c r="M437">
        <v>5</v>
      </c>
      <c r="N437" t="str">
        <f t="shared" si="64"/>
        <v>Moderate</v>
      </c>
      <c r="O437" t="s">
        <v>20</v>
      </c>
      <c r="P437">
        <v>9</v>
      </c>
      <c r="Q437" t="str">
        <f>IF(P437&gt;=7,"High",IF(P437&gt;=6,"Medium","Low"))</f>
        <v>High</v>
      </c>
    </row>
    <row r="438" spans="1:17" hidden="1" x14ac:dyDescent="0.3">
      <c r="A438">
        <v>438</v>
      </c>
      <c r="B438">
        <v>21</v>
      </c>
      <c r="C438" t="str">
        <f t="shared" si="61"/>
        <v>Young Adult</v>
      </c>
      <c r="D438" t="s">
        <v>21</v>
      </c>
      <c r="E438" t="s">
        <v>22</v>
      </c>
      <c r="F438" t="s">
        <v>62</v>
      </c>
      <c r="G438">
        <v>6.7</v>
      </c>
      <c r="H438" t="str">
        <f t="shared" si="62"/>
        <v>Heavy Use</v>
      </c>
      <c r="I438" t="s">
        <v>214</v>
      </c>
      <c r="J438" t="s">
        <v>18</v>
      </c>
      <c r="K438">
        <v>5.5</v>
      </c>
      <c r="L438" t="str">
        <f t="shared" si="63"/>
        <v>Severly Deficient Sleep</v>
      </c>
      <c r="M438">
        <v>6</v>
      </c>
      <c r="N438" t="str">
        <f t="shared" si="64"/>
        <v>Moderate</v>
      </c>
      <c r="O438" t="s">
        <v>28</v>
      </c>
      <c r="P438">
        <v>7</v>
      </c>
      <c r="Q438" t="str">
        <f t="shared" si="60"/>
        <v>High</v>
      </c>
    </row>
    <row r="439" spans="1:17" x14ac:dyDescent="0.3">
      <c r="A439">
        <v>439</v>
      </c>
      <c r="B439">
        <v>20</v>
      </c>
      <c r="C439" t="str">
        <f t="shared" si="61"/>
        <v>Young Adult</v>
      </c>
      <c r="D439" t="s">
        <v>13</v>
      </c>
      <c r="E439" t="s">
        <v>14</v>
      </c>
      <c r="F439" t="s">
        <v>55</v>
      </c>
      <c r="G439">
        <v>3.4</v>
      </c>
      <c r="H439" t="str">
        <f t="shared" si="62"/>
        <v>Low Use</v>
      </c>
      <c r="I439" t="s">
        <v>17</v>
      </c>
      <c r="J439" t="s">
        <v>26</v>
      </c>
      <c r="K439">
        <v>8.6</v>
      </c>
      <c r="L439" t="str">
        <f t="shared" si="63"/>
        <v>Sufficient Sleep</v>
      </c>
      <c r="M439">
        <v>7</v>
      </c>
      <c r="N439" t="str">
        <f t="shared" si="64"/>
        <v>Sever</v>
      </c>
      <c r="O439" t="s">
        <v>20</v>
      </c>
      <c r="P439">
        <v>5</v>
      </c>
      <c r="Q439" t="str">
        <f t="shared" ref="Q439:Q441" si="70">IF(P439&gt;=7,"High",IF(P439&gt;=6,"Medium","Low"))</f>
        <v>Low</v>
      </c>
    </row>
    <row r="440" spans="1:17" x14ac:dyDescent="0.3">
      <c r="A440">
        <v>440</v>
      </c>
      <c r="B440">
        <v>22</v>
      </c>
      <c r="C440" t="str">
        <f t="shared" si="61"/>
        <v>Young Adult</v>
      </c>
      <c r="D440" t="s">
        <v>21</v>
      </c>
      <c r="E440" t="s">
        <v>22</v>
      </c>
      <c r="F440" t="s">
        <v>39</v>
      </c>
      <c r="G440">
        <v>4.2</v>
      </c>
      <c r="H440" t="str">
        <f t="shared" si="62"/>
        <v>Moderate Use</v>
      </c>
      <c r="I440" t="s">
        <v>31</v>
      </c>
      <c r="J440" t="s">
        <v>18</v>
      </c>
      <c r="K440">
        <v>8</v>
      </c>
      <c r="L440" t="str">
        <f t="shared" si="63"/>
        <v>Sufficient Sleep</v>
      </c>
      <c r="M440">
        <v>6</v>
      </c>
      <c r="N440" t="str">
        <f t="shared" si="64"/>
        <v>Moderate</v>
      </c>
      <c r="O440" t="s">
        <v>28</v>
      </c>
      <c r="P440">
        <v>7</v>
      </c>
      <c r="Q440" t="str">
        <f t="shared" si="70"/>
        <v>High</v>
      </c>
    </row>
    <row r="441" spans="1:17" x14ac:dyDescent="0.3">
      <c r="A441">
        <v>441</v>
      </c>
      <c r="B441">
        <v>19</v>
      </c>
      <c r="C441" t="str">
        <f t="shared" si="61"/>
        <v>Teenager</v>
      </c>
      <c r="D441" t="s">
        <v>13</v>
      </c>
      <c r="E441" t="s">
        <v>14</v>
      </c>
      <c r="F441" t="s">
        <v>58</v>
      </c>
      <c r="G441">
        <v>4</v>
      </c>
      <c r="H441" t="str">
        <f t="shared" si="62"/>
        <v>Moderate Use</v>
      </c>
      <c r="I441" t="s">
        <v>17</v>
      </c>
      <c r="J441" t="s">
        <v>18</v>
      </c>
      <c r="K441">
        <v>7.9</v>
      </c>
      <c r="L441" t="str">
        <f t="shared" si="63"/>
        <v>Sufficient Sleep</v>
      </c>
      <c r="M441">
        <v>6</v>
      </c>
      <c r="N441" t="str">
        <f t="shared" si="64"/>
        <v>Moderate</v>
      </c>
      <c r="O441" t="s">
        <v>28</v>
      </c>
      <c r="P441">
        <v>7</v>
      </c>
      <c r="Q441" t="str">
        <f t="shared" si="70"/>
        <v>High</v>
      </c>
    </row>
    <row r="442" spans="1:17" hidden="1" x14ac:dyDescent="0.3">
      <c r="A442">
        <v>442</v>
      </c>
      <c r="B442">
        <v>21</v>
      </c>
      <c r="C442" t="str">
        <f t="shared" si="61"/>
        <v>Young Adult</v>
      </c>
      <c r="D442" t="s">
        <v>21</v>
      </c>
      <c r="E442" t="s">
        <v>22</v>
      </c>
      <c r="F442" t="s">
        <v>73</v>
      </c>
      <c r="G442">
        <v>2.8</v>
      </c>
      <c r="H442" t="str">
        <f t="shared" si="62"/>
        <v>Low Use</v>
      </c>
      <c r="I442" t="s">
        <v>41</v>
      </c>
      <c r="J442" t="s">
        <v>26</v>
      </c>
      <c r="K442">
        <v>9</v>
      </c>
      <c r="L442" t="str">
        <f t="shared" si="63"/>
        <v>Excessive Sleep</v>
      </c>
      <c r="M442">
        <v>8</v>
      </c>
      <c r="N442" t="str">
        <f t="shared" si="64"/>
        <v>Sever</v>
      </c>
      <c r="O442" t="s">
        <v>20</v>
      </c>
      <c r="P442">
        <v>4</v>
      </c>
      <c r="Q442" t="str">
        <f t="shared" si="60"/>
        <v>Low</v>
      </c>
    </row>
    <row r="443" spans="1:17" hidden="1" x14ac:dyDescent="0.3">
      <c r="A443">
        <v>443</v>
      </c>
      <c r="B443">
        <v>20</v>
      </c>
      <c r="C443" t="str">
        <f t="shared" si="61"/>
        <v>Young Adult</v>
      </c>
      <c r="D443" t="s">
        <v>13</v>
      </c>
      <c r="E443" t="s">
        <v>14</v>
      </c>
      <c r="F443" t="s">
        <v>91</v>
      </c>
      <c r="G443">
        <v>3.7</v>
      </c>
      <c r="H443" t="str">
        <f t="shared" si="62"/>
        <v>Low Use</v>
      </c>
      <c r="I443" t="s">
        <v>31</v>
      </c>
      <c r="J443" t="s">
        <v>18</v>
      </c>
      <c r="K443">
        <v>8.1999999999999993</v>
      </c>
      <c r="L443" t="str">
        <f t="shared" si="63"/>
        <v>Sufficient Sleep</v>
      </c>
      <c r="M443">
        <v>7</v>
      </c>
      <c r="N443" t="str">
        <f t="shared" si="64"/>
        <v>Sever</v>
      </c>
      <c r="O443" t="s">
        <v>28</v>
      </c>
      <c r="P443">
        <v>6</v>
      </c>
      <c r="Q443" t="str">
        <f t="shared" si="60"/>
        <v>Medium</v>
      </c>
    </row>
    <row r="444" spans="1:17" x14ac:dyDescent="0.3">
      <c r="A444">
        <v>444</v>
      </c>
      <c r="B444">
        <v>22</v>
      </c>
      <c r="C444" t="str">
        <f t="shared" si="61"/>
        <v>Young Adult</v>
      </c>
      <c r="D444" t="s">
        <v>21</v>
      </c>
      <c r="E444" t="s">
        <v>22</v>
      </c>
      <c r="F444" t="s">
        <v>23</v>
      </c>
      <c r="G444">
        <v>7</v>
      </c>
      <c r="H444" t="str">
        <f t="shared" si="62"/>
        <v>Heavy Use</v>
      </c>
      <c r="I444" t="s">
        <v>214</v>
      </c>
      <c r="J444" t="s">
        <v>18</v>
      </c>
      <c r="K444">
        <v>5.3</v>
      </c>
      <c r="L444" t="str">
        <f t="shared" si="63"/>
        <v>Severly Deficient Sleep</v>
      </c>
      <c r="M444">
        <v>5</v>
      </c>
      <c r="N444" t="str">
        <f t="shared" si="64"/>
        <v>Moderate</v>
      </c>
      <c r="O444" t="s">
        <v>20</v>
      </c>
      <c r="P444">
        <v>8</v>
      </c>
      <c r="Q444" t="str">
        <f>IF(P444&gt;=7,"High",IF(P444&gt;=6,"Medium","Low"))</f>
        <v>High</v>
      </c>
    </row>
    <row r="445" spans="1:17" hidden="1" x14ac:dyDescent="0.3">
      <c r="A445">
        <v>445</v>
      </c>
      <c r="B445">
        <v>19</v>
      </c>
      <c r="C445" t="str">
        <f t="shared" si="61"/>
        <v>Teenager</v>
      </c>
      <c r="D445" t="s">
        <v>13</v>
      </c>
      <c r="E445" t="s">
        <v>14</v>
      </c>
      <c r="F445" t="s">
        <v>81</v>
      </c>
      <c r="G445">
        <v>2.7</v>
      </c>
      <c r="H445" t="str">
        <f t="shared" si="62"/>
        <v>Low Use</v>
      </c>
      <c r="I445" t="s">
        <v>17</v>
      </c>
      <c r="J445" t="s">
        <v>26</v>
      </c>
      <c r="K445">
        <v>9.1</v>
      </c>
      <c r="L445" t="str">
        <f t="shared" si="63"/>
        <v>Excessive Sleep</v>
      </c>
      <c r="M445">
        <v>8</v>
      </c>
      <c r="N445" t="str">
        <f t="shared" si="64"/>
        <v>Sever</v>
      </c>
      <c r="O445" t="s">
        <v>28</v>
      </c>
      <c r="P445">
        <v>4</v>
      </c>
      <c r="Q445" t="str">
        <f t="shared" ref="Q445:Q501" si="71">IF(P445&gt;=7,"High",IF(P445&gt;=5,"Medium","Low"))</f>
        <v>Low</v>
      </c>
    </row>
    <row r="446" spans="1:17" hidden="1" x14ac:dyDescent="0.3">
      <c r="A446">
        <v>446</v>
      </c>
      <c r="B446">
        <v>21</v>
      </c>
      <c r="C446" t="str">
        <f t="shared" si="61"/>
        <v>Young Adult</v>
      </c>
      <c r="D446" t="s">
        <v>21</v>
      </c>
      <c r="E446" t="s">
        <v>22</v>
      </c>
      <c r="F446" t="s">
        <v>109</v>
      </c>
      <c r="G446">
        <v>4.3</v>
      </c>
      <c r="H446" t="str">
        <f t="shared" si="62"/>
        <v>Moderate Use</v>
      </c>
      <c r="I446" t="s">
        <v>17</v>
      </c>
      <c r="J446" t="s">
        <v>18</v>
      </c>
      <c r="K446">
        <v>7.9</v>
      </c>
      <c r="L446" t="str">
        <f t="shared" si="63"/>
        <v>Sufficient Sleep</v>
      </c>
      <c r="M446">
        <v>6</v>
      </c>
      <c r="N446" t="str">
        <f t="shared" si="64"/>
        <v>Moderate</v>
      </c>
      <c r="O446" t="s">
        <v>28</v>
      </c>
      <c r="P446">
        <v>7</v>
      </c>
      <c r="Q446" t="str">
        <f t="shared" si="71"/>
        <v>High</v>
      </c>
    </row>
    <row r="447" spans="1:17" x14ac:dyDescent="0.3">
      <c r="A447">
        <v>447</v>
      </c>
      <c r="B447">
        <v>20</v>
      </c>
      <c r="C447" t="str">
        <f t="shared" si="61"/>
        <v>Young Adult</v>
      </c>
      <c r="D447" t="s">
        <v>13</v>
      </c>
      <c r="E447" t="s">
        <v>14</v>
      </c>
      <c r="F447" t="s">
        <v>29</v>
      </c>
      <c r="G447">
        <v>8</v>
      </c>
      <c r="H447" t="str">
        <f t="shared" si="62"/>
        <v>Heavy Use</v>
      </c>
      <c r="I447" t="s">
        <v>31</v>
      </c>
      <c r="J447" t="s">
        <v>18</v>
      </c>
      <c r="K447">
        <v>4.3</v>
      </c>
      <c r="L447" t="str">
        <f t="shared" si="63"/>
        <v>Severly Deficient Sleep</v>
      </c>
      <c r="M447">
        <v>5</v>
      </c>
      <c r="N447" t="str">
        <f t="shared" si="64"/>
        <v>Moderate</v>
      </c>
      <c r="O447" t="s">
        <v>20</v>
      </c>
      <c r="P447">
        <v>9</v>
      </c>
      <c r="Q447" t="str">
        <f>IF(P447&gt;=7,"High",IF(P447&gt;=6,"Medium","Low"))</f>
        <v>High</v>
      </c>
    </row>
    <row r="448" spans="1:17" hidden="1" x14ac:dyDescent="0.3">
      <c r="A448">
        <v>448</v>
      </c>
      <c r="B448">
        <v>22</v>
      </c>
      <c r="C448" t="str">
        <f t="shared" si="61"/>
        <v>Young Adult</v>
      </c>
      <c r="D448" t="s">
        <v>21</v>
      </c>
      <c r="E448" t="s">
        <v>22</v>
      </c>
      <c r="F448" t="s">
        <v>62</v>
      </c>
      <c r="G448">
        <v>6.8</v>
      </c>
      <c r="H448" t="str">
        <f t="shared" si="62"/>
        <v>Heavy Use</v>
      </c>
      <c r="I448" t="s">
        <v>214</v>
      </c>
      <c r="J448" t="s">
        <v>18</v>
      </c>
      <c r="K448">
        <v>5.4</v>
      </c>
      <c r="L448" t="str">
        <f t="shared" si="63"/>
        <v>Severly Deficient Sleep</v>
      </c>
      <c r="M448">
        <v>6</v>
      </c>
      <c r="N448" t="str">
        <f t="shared" si="64"/>
        <v>Moderate</v>
      </c>
      <c r="O448" t="s">
        <v>28</v>
      </c>
      <c r="P448">
        <v>7</v>
      </c>
      <c r="Q448" t="str">
        <f t="shared" si="71"/>
        <v>High</v>
      </c>
    </row>
    <row r="449" spans="1:17" x14ac:dyDescent="0.3">
      <c r="A449">
        <v>449</v>
      </c>
      <c r="B449">
        <v>19</v>
      </c>
      <c r="C449" t="str">
        <f t="shared" ref="C449:C512" si="72">IF(B449&gt;=20,"Young Adult","Teenager")</f>
        <v>Teenager</v>
      </c>
      <c r="D449" t="s">
        <v>13</v>
      </c>
      <c r="E449" t="s">
        <v>14</v>
      </c>
      <c r="F449" t="s">
        <v>55</v>
      </c>
      <c r="G449">
        <v>3.3</v>
      </c>
      <c r="H449" t="str">
        <f t="shared" ref="H449:H512" si="73">IF(G449&gt;=6,"Heavy Use",IF(G449&gt;=4,"Moderate Use","Low Use"))</f>
        <v>Low Use</v>
      </c>
      <c r="I449" t="s">
        <v>17</v>
      </c>
      <c r="J449" t="s">
        <v>26</v>
      </c>
      <c r="K449">
        <v>8.6999999999999993</v>
      </c>
      <c r="L449" t="str">
        <f t="shared" ref="L449:L512" si="74">IF(K449&gt;=9,"Excessive Sleep",IF(K449&gt;=7,"Sufficient Sleep","Severly Deficient Sleep"))</f>
        <v>Sufficient Sleep</v>
      </c>
      <c r="M449">
        <v>7</v>
      </c>
      <c r="N449" t="str">
        <f t="shared" ref="N449:N512" si="75">IF(M449&gt;=7,"Sever",IF(M449&lt;=4,"Mild","Moderate"))</f>
        <v>Sever</v>
      </c>
      <c r="O449" t="s">
        <v>20</v>
      </c>
      <c r="P449">
        <v>5</v>
      </c>
      <c r="Q449" t="str">
        <f t="shared" ref="Q449:Q451" si="76">IF(P449&gt;=7,"High",IF(P449&gt;=6,"Medium","Low"))</f>
        <v>Low</v>
      </c>
    </row>
    <row r="450" spans="1:17" x14ac:dyDescent="0.3">
      <c r="A450">
        <v>450</v>
      </c>
      <c r="B450">
        <v>21</v>
      </c>
      <c r="C450" t="str">
        <f t="shared" si="72"/>
        <v>Young Adult</v>
      </c>
      <c r="D450" t="s">
        <v>21</v>
      </c>
      <c r="E450" t="s">
        <v>22</v>
      </c>
      <c r="F450" t="s">
        <v>39</v>
      </c>
      <c r="G450">
        <v>4.0999999999999996</v>
      </c>
      <c r="H450" t="str">
        <f t="shared" si="73"/>
        <v>Moderate Use</v>
      </c>
      <c r="I450" t="s">
        <v>17</v>
      </c>
      <c r="J450" t="s">
        <v>18</v>
      </c>
      <c r="K450">
        <v>8.1</v>
      </c>
      <c r="L450" t="str">
        <f t="shared" si="74"/>
        <v>Sufficient Sleep</v>
      </c>
      <c r="M450">
        <v>6</v>
      </c>
      <c r="N450" t="str">
        <f t="shared" si="75"/>
        <v>Moderate</v>
      </c>
      <c r="O450" t="s">
        <v>28</v>
      </c>
      <c r="P450">
        <v>7</v>
      </c>
      <c r="Q450" t="str">
        <f t="shared" si="76"/>
        <v>High</v>
      </c>
    </row>
    <row r="451" spans="1:17" x14ac:dyDescent="0.3">
      <c r="A451">
        <v>451</v>
      </c>
      <c r="B451">
        <v>20</v>
      </c>
      <c r="C451" t="str">
        <f t="shared" si="72"/>
        <v>Young Adult</v>
      </c>
      <c r="D451" t="s">
        <v>13</v>
      </c>
      <c r="E451" t="s">
        <v>14</v>
      </c>
      <c r="F451" t="s">
        <v>58</v>
      </c>
      <c r="G451">
        <v>3.9</v>
      </c>
      <c r="H451" t="str">
        <f t="shared" si="73"/>
        <v>Low Use</v>
      </c>
      <c r="I451" t="s">
        <v>31</v>
      </c>
      <c r="J451" t="s">
        <v>18</v>
      </c>
      <c r="K451">
        <v>8</v>
      </c>
      <c r="L451" t="str">
        <f t="shared" si="74"/>
        <v>Sufficient Sleep</v>
      </c>
      <c r="M451">
        <v>6</v>
      </c>
      <c r="N451" t="str">
        <f t="shared" si="75"/>
        <v>Moderate</v>
      </c>
      <c r="O451" t="s">
        <v>28</v>
      </c>
      <c r="P451">
        <v>7</v>
      </c>
      <c r="Q451" t="str">
        <f t="shared" si="76"/>
        <v>High</v>
      </c>
    </row>
    <row r="452" spans="1:17" hidden="1" x14ac:dyDescent="0.3">
      <c r="A452">
        <v>452</v>
      </c>
      <c r="B452">
        <v>22</v>
      </c>
      <c r="C452" t="str">
        <f t="shared" si="72"/>
        <v>Young Adult</v>
      </c>
      <c r="D452" t="s">
        <v>21</v>
      </c>
      <c r="E452" t="s">
        <v>22</v>
      </c>
      <c r="F452" t="s">
        <v>73</v>
      </c>
      <c r="G452">
        <v>2.7</v>
      </c>
      <c r="H452" t="str">
        <f t="shared" si="73"/>
        <v>Low Use</v>
      </c>
      <c r="I452" t="s">
        <v>41</v>
      </c>
      <c r="J452" t="s">
        <v>26</v>
      </c>
      <c r="K452">
        <v>9.1</v>
      </c>
      <c r="L452" t="str">
        <f t="shared" si="74"/>
        <v>Excessive Sleep</v>
      </c>
      <c r="M452">
        <v>8</v>
      </c>
      <c r="N452" t="str">
        <f t="shared" si="75"/>
        <v>Sever</v>
      </c>
      <c r="O452" t="s">
        <v>20</v>
      </c>
      <c r="P452">
        <v>4</v>
      </c>
      <c r="Q452" t="str">
        <f t="shared" si="71"/>
        <v>Low</v>
      </c>
    </row>
    <row r="453" spans="1:17" hidden="1" x14ac:dyDescent="0.3">
      <c r="A453">
        <v>453</v>
      </c>
      <c r="B453">
        <v>19</v>
      </c>
      <c r="C453" t="str">
        <f t="shared" si="72"/>
        <v>Teenager</v>
      </c>
      <c r="D453" t="s">
        <v>13</v>
      </c>
      <c r="E453" t="s">
        <v>14</v>
      </c>
      <c r="F453" t="s">
        <v>91</v>
      </c>
      <c r="G453">
        <v>3.6</v>
      </c>
      <c r="H453" t="str">
        <f t="shared" si="73"/>
        <v>Low Use</v>
      </c>
      <c r="I453" t="s">
        <v>17</v>
      </c>
      <c r="J453" t="s">
        <v>18</v>
      </c>
      <c r="K453">
        <v>8.3000000000000007</v>
      </c>
      <c r="L453" t="str">
        <f t="shared" si="74"/>
        <v>Sufficient Sleep</v>
      </c>
      <c r="M453">
        <v>7</v>
      </c>
      <c r="N453" t="str">
        <f t="shared" si="75"/>
        <v>Sever</v>
      </c>
      <c r="O453" t="s">
        <v>28</v>
      </c>
      <c r="P453">
        <v>6</v>
      </c>
      <c r="Q453" t="str">
        <f t="shared" si="71"/>
        <v>Medium</v>
      </c>
    </row>
    <row r="454" spans="1:17" x14ac:dyDescent="0.3">
      <c r="A454">
        <v>454</v>
      </c>
      <c r="B454">
        <v>21</v>
      </c>
      <c r="C454" t="str">
        <f t="shared" si="72"/>
        <v>Young Adult</v>
      </c>
      <c r="D454" t="s">
        <v>21</v>
      </c>
      <c r="E454" t="s">
        <v>22</v>
      </c>
      <c r="F454" t="s">
        <v>23</v>
      </c>
      <c r="G454">
        <v>7.1</v>
      </c>
      <c r="H454" t="str">
        <f t="shared" si="73"/>
        <v>Heavy Use</v>
      </c>
      <c r="I454" t="s">
        <v>214</v>
      </c>
      <c r="J454" t="s">
        <v>18</v>
      </c>
      <c r="K454">
        <v>5.2</v>
      </c>
      <c r="L454" t="str">
        <f t="shared" si="74"/>
        <v>Severly Deficient Sleep</v>
      </c>
      <c r="M454">
        <v>5</v>
      </c>
      <c r="N454" t="str">
        <f t="shared" si="75"/>
        <v>Moderate</v>
      </c>
      <c r="O454" t="s">
        <v>20</v>
      </c>
      <c r="P454">
        <v>8</v>
      </c>
      <c r="Q454" t="str">
        <f>IF(P454&gt;=7,"High",IF(P454&gt;=6,"Medium","Low"))</f>
        <v>High</v>
      </c>
    </row>
    <row r="455" spans="1:17" hidden="1" x14ac:dyDescent="0.3">
      <c r="A455">
        <v>455</v>
      </c>
      <c r="B455">
        <v>20</v>
      </c>
      <c r="C455" t="str">
        <f t="shared" si="72"/>
        <v>Young Adult</v>
      </c>
      <c r="D455" t="s">
        <v>13</v>
      </c>
      <c r="E455" t="s">
        <v>14</v>
      </c>
      <c r="F455" t="s">
        <v>81</v>
      </c>
      <c r="G455">
        <v>2.6</v>
      </c>
      <c r="H455" t="str">
        <f t="shared" si="73"/>
        <v>Low Use</v>
      </c>
      <c r="I455" t="s">
        <v>17</v>
      </c>
      <c r="J455" t="s">
        <v>26</v>
      </c>
      <c r="K455">
        <v>9.1999999999999993</v>
      </c>
      <c r="L455" t="str">
        <f t="shared" si="74"/>
        <v>Excessive Sleep</v>
      </c>
      <c r="M455">
        <v>8</v>
      </c>
      <c r="N455" t="str">
        <f t="shared" si="75"/>
        <v>Sever</v>
      </c>
      <c r="O455" t="s">
        <v>28</v>
      </c>
      <c r="P455">
        <v>4</v>
      </c>
      <c r="Q455" t="str">
        <f t="shared" si="71"/>
        <v>Low</v>
      </c>
    </row>
    <row r="456" spans="1:17" hidden="1" x14ac:dyDescent="0.3">
      <c r="A456">
        <v>456</v>
      </c>
      <c r="B456">
        <v>22</v>
      </c>
      <c r="C456" t="str">
        <f t="shared" si="72"/>
        <v>Young Adult</v>
      </c>
      <c r="D456" t="s">
        <v>21</v>
      </c>
      <c r="E456" t="s">
        <v>22</v>
      </c>
      <c r="F456" t="s">
        <v>109</v>
      </c>
      <c r="G456">
        <v>4.2</v>
      </c>
      <c r="H456" t="str">
        <f t="shared" si="73"/>
        <v>Moderate Use</v>
      </c>
      <c r="I456" t="s">
        <v>31</v>
      </c>
      <c r="J456" t="s">
        <v>18</v>
      </c>
      <c r="K456">
        <v>8</v>
      </c>
      <c r="L456" t="str">
        <f t="shared" si="74"/>
        <v>Sufficient Sleep</v>
      </c>
      <c r="M456">
        <v>6</v>
      </c>
      <c r="N456" t="str">
        <f t="shared" si="75"/>
        <v>Moderate</v>
      </c>
      <c r="O456" t="s">
        <v>28</v>
      </c>
      <c r="P456">
        <v>7</v>
      </c>
      <c r="Q456" t="str">
        <f t="shared" si="71"/>
        <v>High</v>
      </c>
    </row>
    <row r="457" spans="1:17" x14ac:dyDescent="0.3">
      <c r="A457">
        <v>457</v>
      </c>
      <c r="B457">
        <v>19</v>
      </c>
      <c r="C457" t="str">
        <f t="shared" si="72"/>
        <v>Teenager</v>
      </c>
      <c r="D457" t="s">
        <v>13</v>
      </c>
      <c r="E457" t="s">
        <v>14</v>
      </c>
      <c r="F457" t="s">
        <v>29</v>
      </c>
      <c r="G457">
        <v>8.1</v>
      </c>
      <c r="H457" t="str">
        <f t="shared" si="73"/>
        <v>Heavy Use</v>
      </c>
      <c r="I457" t="s">
        <v>17</v>
      </c>
      <c r="J457" t="s">
        <v>18</v>
      </c>
      <c r="K457">
        <v>4.2</v>
      </c>
      <c r="L457" t="str">
        <f t="shared" si="74"/>
        <v>Severly Deficient Sleep</v>
      </c>
      <c r="M457">
        <v>5</v>
      </c>
      <c r="N457" t="str">
        <f t="shared" si="75"/>
        <v>Moderate</v>
      </c>
      <c r="O457" t="s">
        <v>20</v>
      </c>
      <c r="P457">
        <v>9</v>
      </c>
      <c r="Q457" t="str">
        <f>IF(P457&gt;=7,"High",IF(P457&gt;=6,"Medium","Low"))</f>
        <v>High</v>
      </c>
    </row>
    <row r="458" spans="1:17" hidden="1" x14ac:dyDescent="0.3">
      <c r="A458">
        <v>458</v>
      </c>
      <c r="B458">
        <v>21</v>
      </c>
      <c r="C458" t="str">
        <f t="shared" si="72"/>
        <v>Young Adult</v>
      </c>
      <c r="D458" t="s">
        <v>21</v>
      </c>
      <c r="E458" t="s">
        <v>22</v>
      </c>
      <c r="F458" t="s">
        <v>62</v>
      </c>
      <c r="G458">
        <v>6.9</v>
      </c>
      <c r="H458" t="str">
        <f t="shared" si="73"/>
        <v>Heavy Use</v>
      </c>
      <c r="I458" t="s">
        <v>214</v>
      </c>
      <c r="J458" t="s">
        <v>18</v>
      </c>
      <c r="K458">
        <v>5.3</v>
      </c>
      <c r="L458" t="str">
        <f t="shared" si="74"/>
        <v>Severly Deficient Sleep</v>
      </c>
      <c r="M458">
        <v>6</v>
      </c>
      <c r="N458" t="str">
        <f t="shared" si="75"/>
        <v>Moderate</v>
      </c>
      <c r="O458" t="s">
        <v>28</v>
      </c>
      <c r="P458">
        <v>7</v>
      </c>
      <c r="Q458" t="str">
        <f t="shared" si="71"/>
        <v>High</v>
      </c>
    </row>
    <row r="459" spans="1:17" x14ac:dyDescent="0.3">
      <c r="A459">
        <v>459</v>
      </c>
      <c r="B459">
        <v>20</v>
      </c>
      <c r="C459" t="str">
        <f t="shared" si="72"/>
        <v>Young Adult</v>
      </c>
      <c r="D459" t="s">
        <v>13</v>
      </c>
      <c r="E459" t="s">
        <v>14</v>
      </c>
      <c r="F459" t="s">
        <v>55</v>
      </c>
      <c r="G459">
        <v>3.2</v>
      </c>
      <c r="H459" t="str">
        <f t="shared" si="73"/>
        <v>Low Use</v>
      </c>
      <c r="I459" t="s">
        <v>17</v>
      </c>
      <c r="J459" t="s">
        <v>26</v>
      </c>
      <c r="K459">
        <v>8.8000000000000007</v>
      </c>
      <c r="L459" t="str">
        <f t="shared" si="74"/>
        <v>Sufficient Sleep</v>
      </c>
      <c r="M459">
        <v>7</v>
      </c>
      <c r="N459" t="str">
        <f t="shared" si="75"/>
        <v>Sever</v>
      </c>
      <c r="O459" t="s">
        <v>20</v>
      </c>
      <c r="P459">
        <v>5</v>
      </c>
      <c r="Q459" t="str">
        <f t="shared" ref="Q459:Q461" si="77">IF(P459&gt;=7,"High",IF(P459&gt;=6,"Medium","Low"))</f>
        <v>Low</v>
      </c>
    </row>
    <row r="460" spans="1:17" x14ac:dyDescent="0.3">
      <c r="A460">
        <v>460</v>
      </c>
      <c r="B460">
        <v>22</v>
      </c>
      <c r="C460" t="str">
        <f t="shared" si="72"/>
        <v>Young Adult</v>
      </c>
      <c r="D460" t="s">
        <v>21</v>
      </c>
      <c r="E460" t="s">
        <v>22</v>
      </c>
      <c r="F460" t="s">
        <v>39</v>
      </c>
      <c r="G460">
        <v>4</v>
      </c>
      <c r="H460" t="str">
        <f t="shared" si="73"/>
        <v>Moderate Use</v>
      </c>
      <c r="I460" t="s">
        <v>31</v>
      </c>
      <c r="J460" t="s">
        <v>18</v>
      </c>
      <c r="K460">
        <v>8.1999999999999993</v>
      </c>
      <c r="L460" t="str">
        <f t="shared" si="74"/>
        <v>Sufficient Sleep</v>
      </c>
      <c r="M460">
        <v>6</v>
      </c>
      <c r="N460" t="str">
        <f t="shared" si="75"/>
        <v>Moderate</v>
      </c>
      <c r="O460" t="s">
        <v>28</v>
      </c>
      <c r="P460">
        <v>7</v>
      </c>
      <c r="Q460" t="str">
        <f t="shared" si="77"/>
        <v>High</v>
      </c>
    </row>
    <row r="461" spans="1:17" x14ac:dyDescent="0.3">
      <c r="A461">
        <v>461</v>
      </c>
      <c r="B461">
        <v>19</v>
      </c>
      <c r="C461" t="str">
        <f t="shared" si="72"/>
        <v>Teenager</v>
      </c>
      <c r="D461" t="s">
        <v>13</v>
      </c>
      <c r="E461" t="s">
        <v>14</v>
      </c>
      <c r="F461" t="s">
        <v>58</v>
      </c>
      <c r="G461">
        <v>3.8</v>
      </c>
      <c r="H461" t="str">
        <f t="shared" si="73"/>
        <v>Low Use</v>
      </c>
      <c r="I461" t="s">
        <v>17</v>
      </c>
      <c r="J461" t="s">
        <v>18</v>
      </c>
      <c r="K461">
        <v>8.1</v>
      </c>
      <c r="L461" t="str">
        <f t="shared" si="74"/>
        <v>Sufficient Sleep</v>
      </c>
      <c r="M461">
        <v>6</v>
      </c>
      <c r="N461" t="str">
        <f t="shared" si="75"/>
        <v>Moderate</v>
      </c>
      <c r="O461" t="s">
        <v>28</v>
      </c>
      <c r="P461">
        <v>7</v>
      </c>
      <c r="Q461" t="str">
        <f t="shared" si="77"/>
        <v>High</v>
      </c>
    </row>
    <row r="462" spans="1:17" hidden="1" x14ac:dyDescent="0.3">
      <c r="A462">
        <v>462</v>
      </c>
      <c r="B462">
        <v>21</v>
      </c>
      <c r="C462" t="str">
        <f t="shared" si="72"/>
        <v>Young Adult</v>
      </c>
      <c r="D462" t="s">
        <v>21</v>
      </c>
      <c r="E462" t="s">
        <v>22</v>
      </c>
      <c r="F462" t="s">
        <v>73</v>
      </c>
      <c r="G462">
        <v>2.6</v>
      </c>
      <c r="H462" t="str">
        <f t="shared" si="73"/>
        <v>Low Use</v>
      </c>
      <c r="I462" t="s">
        <v>41</v>
      </c>
      <c r="J462" t="s">
        <v>26</v>
      </c>
      <c r="K462">
        <v>9.1999999999999993</v>
      </c>
      <c r="L462" t="str">
        <f t="shared" si="74"/>
        <v>Excessive Sleep</v>
      </c>
      <c r="M462">
        <v>8</v>
      </c>
      <c r="N462" t="str">
        <f t="shared" si="75"/>
        <v>Sever</v>
      </c>
      <c r="O462" t="s">
        <v>20</v>
      </c>
      <c r="P462">
        <v>4</v>
      </c>
      <c r="Q462" t="str">
        <f t="shared" si="71"/>
        <v>Low</v>
      </c>
    </row>
    <row r="463" spans="1:17" hidden="1" x14ac:dyDescent="0.3">
      <c r="A463">
        <v>463</v>
      </c>
      <c r="B463">
        <v>20</v>
      </c>
      <c r="C463" t="str">
        <f t="shared" si="72"/>
        <v>Young Adult</v>
      </c>
      <c r="D463" t="s">
        <v>13</v>
      </c>
      <c r="E463" t="s">
        <v>14</v>
      </c>
      <c r="F463" t="s">
        <v>91</v>
      </c>
      <c r="G463">
        <v>3.5</v>
      </c>
      <c r="H463" t="str">
        <f t="shared" si="73"/>
        <v>Low Use</v>
      </c>
      <c r="I463" t="s">
        <v>31</v>
      </c>
      <c r="J463" t="s">
        <v>18</v>
      </c>
      <c r="K463">
        <v>8.4</v>
      </c>
      <c r="L463" t="str">
        <f t="shared" si="74"/>
        <v>Sufficient Sleep</v>
      </c>
      <c r="M463">
        <v>7</v>
      </c>
      <c r="N463" t="str">
        <f t="shared" si="75"/>
        <v>Sever</v>
      </c>
      <c r="O463" t="s">
        <v>28</v>
      </c>
      <c r="P463">
        <v>6</v>
      </c>
      <c r="Q463" t="str">
        <f t="shared" si="71"/>
        <v>Medium</v>
      </c>
    </row>
    <row r="464" spans="1:17" x14ac:dyDescent="0.3">
      <c r="A464">
        <v>464</v>
      </c>
      <c r="B464">
        <v>22</v>
      </c>
      <c r="C464" t="str">
        <f t="shared" si="72"/>
        <v>Young Adult</v>
      </c>
      <c r="D464" t="s">
        <v>21</v>
      </c>
      <c r="E464" t="s">
        <v>22</v>
      </c>
      <c r="F464" t="s">
        <v>23</v>
      </c>
      <c r="G464">
        <v>7.2</v>
      </c>
      <c r="H464" t="str">
        <f t="shared" si="73"/>
        <v>Heavy Use</v>
      </c>
      <c r="I464" t="s">
        <v>214</v>
      </c>
      <c r="J464" t="s">
        <v>18</v>
      </c>
      <c r="K464">
        <v>5.0999999999999996</v>
      </c>
      <c r="L464" t="str">
        <f t="shared" si="74"/>
        <v>Severly Deficient Sleep</v>
      </c>
      <c r="M464">
        <v>5</v>
      </c>
      <c r="N464" t="str">
        <f t="shared" si="75"/>
        <v>Moderate</v>
      </c>
      <c r="O464" t="s">
        <v>20</v>
      </c>
      <c r="P464">
        <v>8</v>
      </c>
      <c r="Q464" t="str">
        <f>IF(P464&gt;=7,"High",IF(P464&gt;=6,"Medium","Low"))</f>
        <v>High</v>
      </c>
    </row>
    <row r="465" spans="1:17" hidden="1" x14ac:dyDescent="0.3">
      <c r="A465">
        <v>465</v>
      </c>
      <c r="B465">
        <v>19</v>
      </c>
      <c r="C465" t="str">
        <f t="shared" si="72"/>
        <v>Teenager</v>
      </c>
      <c r="D465" t="s">
        <v>13</v>
      </c>
      <c r="E465" t="s">
        <v>14</v>
      </c>
      <c r="F465" t="s">
        <v>81</v>
      </c>
      <c r="G465">
        <v>2.5</v>
      </c>
      <c r="H465" t="str">
        <f t="shared" si="73"/>
        <v>Low Use</v>
      </c>
      <c r="I465" t="s">
        <v>17</v>
      </c>
      <c r="J465" t="s">
        <v>26</v>
      </c>
      <c r="K465">
        <v>9.3000000000000007</v>
      </c>
      <c r="L465" t="str">
        <f t="shared" si="74"/>
        <v>Excessive Sleep</v>
      </c>
      <c r="M465">
        <v>8</v>
      </c>
      <c r="N465" t="str">
        <f t="shared" si="75"/>
        <v>Sever</v>
      </c>
      <c r="O465" t="s">
        <v>28</v>
      </c>
      <c r="P465">
        <v>4</v>
      </c>
      <c r="Q465" t="str">
        <f t="shared" si="71"/>
        <v>Low</v>
      </c>
    </row>
    <row r="466" spans="1:17" hidden="1" x14ac:dyDescent="0.3">
      <c r="A466">
        <v>466</v>
      </c>
      <c r="B466">
        <v>21</v>
      </c>
      <c r="C466" t="str">
        <f t="shared" si="72"/>
        <v>Young Adult</v>
      </c>
      <c r="D466" t="s">
        <v>21</v>
      </c>
      <c r="E466" t="s">
        <v>22</v>
      </c>
      <c r="F466" t="s">
        <v>109</v>
      </c>
      <c r="G466">
        <v>4.0999999999999996</v>
      </c>
      <c r="H466" t="str">
        <f t="shared" si="73"/>
        <v>Moderate Use</v>
      </c>
      <c r="I466" t="s">
        <v>17</v>
      </c>
      <c r="J466" t="s">
        <v>18</v>
      </c>
      <c r="K466">
        <v>8.1</v>
      </c>
      <c r="L466" t="str">
        <f t="shared" si="74"/>
        <v>Sufficient Sleep</v>
      </c>
      <c r="M466">
        <v>6</v>
      </c>
      <c r="N466" t="str">
        <f t="shared" si="75"/>
        <v>Moderate</v>
      </c>
      <c r="O466" t="s">
        <v>28</v>
      </c>
      <c r="P466">
        <v>7</v>
      </c>
      <c r="Q466" t="str">
        <f t="shared" si="71"/>
        <v>High</v>
      </c>
    </row>
    <row r="467" spans="1:17" x14ac:dyDescent="0.3">
      <c r="A467">
        <v>467</v>
      </c>
      <c r="B467">
        <v>20</v>
      </c>
      <c r="C467" t="str">
        <f t="shared" si="72"/>
        <v>Young Adult</v>
      </c>
      <c r="D467" t="s">
        <v>13</v>
      </c>
      <c r="E467" t="s">
        <v>14</v>
      </c>
      <c r="F467" t="s">
        <v>29</v>
      </c>
      <c r="G467">
        <v>8.1999999999999993</v>
      </c>
      <c r="H467" t="str">
        <f t="shared" si="73"/>
        <v>Heavy Use</v>
      </c>
      <c r="I467" t="s">
        <v>31</v>
      </c>
      <c r="J467" t="s">
        <v>18</v>
      </c>
      <c r="K467">
        <v>4.0999999999999996</v>
      </c>
      <c r="L467" t="str">
        <f t="shared" si="74"/>
        <v>Severly Deficient Sleep</v>
      </c>
      <c r="M467">
        <v>5</v>
      </c>
      <c r="N467" t="str">
        <f t="shared" si="75"/>
        <v>Moderate</v>
      </c>
      <c r="O467" t="s">
        <v>20</v>
      </c>
      <c r="P467">
        <v>9</v>
      </c>
      <c r="Q467" t="str">
        <f>IF(P467&gt;=7,"High",IF(P467&gt;=6,"Medium","Low"))</f>
        <v>High</v>
      </c>
    </row>
    <row r="468" spans="1:17" hidden="1" x14ac:dyDescent="0.3">
      <c r="A468">
        <v>468</v>
      </c>
      <c r="B468">
        <v>22</v>
      </c>
      <c r="C468" t="str">
        <f t="shared" si="72"/>
        <v>Young Adult</v>
      </c>
      <c r="D468" t="s">
        <v>21</v>
      </c>
      <c r="E468" t="s">
        <v>22</v>
      </c>
      <c r="F468" t="s">
        <v>62</v>
      </c>
      <c r="G468">
        <v>7</v>
      </c>
      <c r="H468" t="str">
        <f t="shared" si="73"/>
        <v>Heavy Use</v>
      </c>
      <c r="I468" t="s">
        <v>214</v>
      </c>
      <c r="J468" t="s">
        <v>18</v>
      </c>
      <c r="K468">
        <v>5.2</v>
      </c>
      <c r="L468" t="str">
        <f t="shared" si="74"/>
        <v>Severly Deficient Sleep</v>
      </c>
      <c r="M468">
        <v>6</v>
      </c>
      <c r="N468" t="str">
        <f t="shared" si="75"/>
        <v>Moderate</v>
      </c>
      <c r="O468" t="s">
        <v>28</v>
      </c>
      <c r="P468">
        <v>7</v>
      </c>
      <c r="Q468" t="str">
        <f t="shared" si="71"/>
        <v>High</v>
      </c>
    </row>
    <row r="469" spans="1:17" x14ac:dyDescent="0.3">
      <c r="A469">
        <v>469</v>
      </c>
      <c r="B469">
        <v>19</v>
      </c>
      <c r="C469" t="str">
        <f t="shared" si="72"/>
        <v>Teenager</v>
      </c>
      <c r="D469" t="s">
        <v>13</v>
      </c>
      <c r="E469" t="s">
        <v>14</v>
      </c>
      <c r="F469" t="s">
        <v>55</v>
      </c>
      <c r="G469">
        <v>3.1</v>
      </c>
      <c r="H469" t="str">
        <f t="shared" si="73"/>
        <v>Low Use</v>
      </c>
      <c r="I469" t="s">
        <v>17</v>
      </c>
      <c r="J469" t="s">
        <v>26</v>
      </c>
      <c r="K469">
        <v>8.9</v>
      </c>
      <c r="L469" t="str">
        <f t="shared" si="74"/>
        <v>Sufficient Sleep</v>
      </c>
      <c r="M469">
        <v>7</v>
      </c>
      <c r="N469" t="str">
        <f t="shared" si="75"/>
        <v>Sever</v>
      </c>
      <c r="O469" t="s">
        <v>20</v>
      </c>
      <c r="P469">
        <v>5</v>
      </c>
      <c r="Q469" t="str">
        <f t="shared" ref="Q469:Q471" si="78">IF(P469&gt;=7,"High",IF(P469&gt;=6,"Medium","Low"))</f>
        <v>Low</v>
      </c>
    </row>
    <row r="470" spans="1:17" x14ac:dyDescent="0.3">
      <c r="A470">
        <v>470</v>
      </c>
      <c r="B470">
        <v>21</v>
      </c>
      <c r="C470" t="str">
        <f t="shared" si="72"/>
        <v>Young Adult</v>
      </c>
      <c r="D470" t="s">
        <v>21</v>
      </c>
      <c r="E470" t="s">
        <v>22</v>
      </c>
      <c r="F470" t="s">
        <v>39</v>
      </c>
      <c r="G470">
        <v>3.9</v>
      </c>
      <c r="H470" t="str">
        <f t="shared" si="73"/>
        <v>Low Use</v>
      </c>
      <c r="I470" t="s">
        <v>17</v>
      </c>
      <c r="J470" t="s">
        <v>18</v>
      </c>
      <c r="K470">
        <v>8.3000000000000007</v>
      </c>
      <c r="L470" t="str">
        <f t="shared" si="74"/>
        <v>Sufficient Sleep</v>
      </c>
      <c r="M470">
        <v>6</v>
      </c>
      <c r="N470" t="str">
        <f t="shared" si="75"/>
        <v>Moderate</v>
      </c>
      <c r="O470" t="s">
        <v>28</v>
      </c>
      <c r="P470">
        <v>7</v>
      </c>
      <c r="Q470" t="str">
        <f t="shared" si="78"/>
        <v>High</v>
      </c>
    </row>
    <row r="471" spans="1:17" x14ac:dyDescent="0.3">
      <c r="A471">
        <v>471</v>
      </c>
      <c r="B471">
        <v>20</v>
      </c>
      <c r="C471" t="str">
        <f t="shared" si="72"/>
        <v>Young Adult</v>
      </c>
      <c r="D471" t="s">
        <v>13</v>
      </c>
      <c r="E471" t="s">
        <v>14</v>
      </c>
      <c r="F471" t="s">
        <v>58</v>
      </c>
      <c r="G471">
        <v>3.7</v>
      </c>
      <c r="H471" t="str">
        <f t="shared" si="73"/>
        <v>Low Use</v>
      </c>
      <c r="I471" t="s">
        <v>31</v>
      </c>
      <c r="J471" t="s">
        <v>18</v>
      </c>
      <c r="K471">
        <v>8.1999999999999993</v>
      </c>
      <c r="L471" t="str">
        <f t="shared" si="74"/>
        <v>Sufficient Sleep</v>
      </c>
      <c r="M471">
        <v>6</v>
      </c>
      <c r="N471" t="str">
        <f t="shared" si="75"/>
        <v>Moderate</v>
      </c>
      <c r="O471" t="s">
        <v>28</v>
      </c>
      <c r="P471">
        <v>7</v>
      </c>
      <c r="Q471" t="str">
        <f t="shared" si="78"/>
        <v>High</v>
      </c>
    </row>
    <row r="472" spans="1:17" hidden="1" x14ac:dyDescent="0.3">
      <c r="A472">
        <v>472</v>
      </c>
      <c r="B472">
        <v>22</v>
      </c>
      <c r="C472" t="str">
        <f t="shared" si="72"/>
        <v>Young Adult</v>
      </c>
      <c r="D472" t="s">
        <v>21</v>
      </c>
      <c r="E472" t="s">
        <v>22</v>
      </c>
      <c r="F472" t="s">
        <v>73</v>
      </c>
      <c r="G472">
        <v>2.5</v>
      </c>
      <c r="H472" t="str">
        <f t="shared" si="73"/>
        <v>Low Use</v>
      </c>
      <c r="I472" t="s">
        <v>41</v>
      </c>
      <c r="J472" t="s">
        <v>26</v>
      </c>
      <c r="K472">
        <v>9.3000000000000007</v>
      </c>
      <c r="L472" t="str">
        <f t="shared" si="74"/>
        <v>Excessive Sleep</v>
      </c>
      <c r="M472">
        <v>8</v>
      </c>
      <c r="N472" t="str">
        <f t="shared" si="75"/>
        <v>Sever</v>
      </c>
      <c r="O472" t="s">
        <v>20</v>
      </c>
      <c r="P472">
        <v>4</v>
      </c>
      <c r="Q472" t="str">
        <f t="shared" si="71"/>
        <v>Low</v>
      </c>
    </row>
    <row r="473" spans="1:17" hidden="1" x14ac:dyDescent="0.3">
      <c r="A473">
        <v>473</v>
      </c>
      <c r="B473">
        <v>19</v>
      </c>
      <c r="C473" t="str">
        <f t="shared" si="72"/>
        <v>Teenager</v>
      </c>
      <c r="D473" t="s">
        <v>13</v>
      </c>
      <c r="E473" t="s">
        <v>14</v>
      </c>
      <c r="F473" t="s">
        <v>91</v>
      </c>
      <c r="G473">
        <v>3.4</v>
      </c>
      <c r="H473" t="str">
        <f t="shared" si="73"/>
        <v>Low Use</v>
      </c>
      <c r="I473" t="s">
        <v>17</v>
      </c>
      <c r="J473" t="s">
        <v>18</v>
      </c>
      <c r="K473">
        <v>8.5</v>
      </c>
      <c r="L473" t="str">
        <f t="shared" si="74"/>
        <v>Sufficient Sleep</v>
      </c>
      <c r="M473">
        <v>7</v>
      </c>
      <c r="N473" t="str">
        <f t="shared" si="75"/>
        <v>Sever</v>
      </c>
      <c r="O473" t="s">
        <v>28</v>
      </c>
      <c r="P473">
        <v>6</v>
      </c>
      <c r="Q473" t="str">
        <f t="shared" si="71"/>
        <v>Medium</v>
      </c>
    </row>
    <row r="474" spans="1:17" x14ac:dyDescent="0.3">
      <c r="A474">
        <v>474</v>
      </c>
      <c r="B474">
        <v>21</v>
      </c>
      <c r="C474" t="str">
        <f t="shared" si="72"/>
        <v>Young Adult</v>
      </c>
      <c r="D474" t="s">
        <v>21</v>
      </c>
      <c r="E474" t="s">
        <v>22</v>
      </c>
      <c r="F474" t="s">
        <v>23</v>
      </c>
      <c r="G474">
        <v>7.3</v>
      </c>
      <c r="H474" t="str">
        <f t="shared" si="73"/>
        <v>Heavy Use</v>
      </c>
      <c r="I474" t="s">
        <v>214</v>
      </c>
      <c r="J474" t="s">
        <v>18</v>
      </c>
      <c r="K474">
        <v>5</v>
      </c>
      <c r="L474" t="str">
        <f t="shared" si="74"/>
        <v>Severly Deficient Sleep</v>
      </c>
      <c r="M474">
        <v>5</v>
      </c>
      <c r="N474" t="str">
        <f t="shared" si="75"/>
        <v>Moderate</v>
      </c>
      <c r="O474" t="s">
        <v>20</v>
      </c>
      <c r="P474">
        <v>8</v>
      </c>
      <c r="Q474" t="str">
        <f>IF(P474&gt;=7,"High",IF(P474&gt;=6,"Medium","Low"))</f>
        <v>High</v>
      </c>
    </row>
    <row r="475" spans="1:17" hidden="1" x14ac:dyDescent="0.3">
      <c r="A475">
        <v>475</v>
      </c>
      <c r="B475">
        <v>20</v>
      </c>
      <c r="C475" t="str">
        <f t="shared" si="72"/>
        <v>Young Adult</v>
      </c>
      <c r="D475" t="s">
        <v>13</v>
      </c>
      <c r="E475" t="s">
        <v>14</v>
      </c>
      <c r="F475" t="s">
        <v>81</v>
      </c>
      <c r="G475">
        <v>2.4</v>
      </c>
      <c r="H475" t="str">
        <f t="shared" si="73"/>
        <v>Low Use</v>
      </c>
      <c r="I475" t="s">
        <v>17</v>
      </c>
      <c r="J475" t="s">
        <v>26</v>
      </c>
      <c r="K475">
        <v>9.4</v>
      </c>
      <c r="L475" t="str">
        <f t="shared" si="74"/>
        <v>Excessive Sleep</v>
      </c>
      <c r="M475">
        <v>8</v>
      </c>
      <c r="N475" t="str">
        <f t="shared" si="75"/>
        <v>Sever</v>
      </c>
      <c r="O475" t="s">
        <v>28</v>
      </c>
      <c r="P475">
        <v>4</v>
      </c>
      <c r="Q475" t="str">
        <f t="shared" si="71"/>
        <v>Low</v>
      </c>
    </row>
    <row r="476" spans="1:17" hidden="1" x14ac:dyDescent="0.3">
      <c r="A476">
        <v>476</v>
      </c>
      <c r="B476">
        <v>22</v>
      </c>
      <c r="C476" t="str">
        <f t="shared" si="72"/>
        <v>Young Adult</v>
      </c>
      <c r="D476" t="s">
        <v>21</v>
      </c>
      <c r="E476" t="s">
        <v>22</v>
      </c>
      <c r="F476" t="s">
        <v>109</v>
      </c>
      <c r="G476">
        <v>4</v>
      </c>
      <c r="H476" t="str">
        <f t="shared" si="73"/>
        <v>Moderate Use</v>
      </c>
      <c r="I476" t="s">
        <v>31</v>
      </c>
      <c r="J476" t="s">
        <v>18</v>
      </c>
      <c r="K476">
        <v>8.1999999999999993</v>
      </c>
      <c r="L476" t="str">
        <f t="shared" si="74"/>
        <v>Sufficient Sleep</v>
      </c>
      <c r="M476">
        <v>6</v>
      </c>
      <c r="N476" t="str">
        <f t="shared" si="75"/>
        <v>Moderate</v>
      </c>
      <c r="O476" t="s">
        <v>28</v>
      </c>
      <c r="P476">
        <v>7</v>
      </c>
      <c r="Q476" t="str">
        <f t="shared" si="71"/>
        <v>High</v>
      </c>
    </row>
    <row r="477" spans="1:17" x14ac:dyDescent="0.3">
      <c r="A477">
        <v>477</v>
      </c>
      <c r="B477">
        <v>19</v>
      </c>
      <c r="C477" t="str">
        <f t="shared" si="72"/>
        <v>Teenager</v>
      </c>
      <c r="D477" t="s">
        <v>13</v>
      </c>
      <c r="E477" t="s">
        <v>14</v>
      </c>
      <c r="F477" t="s">
        <v>29</v>
      </c>
      <c r="G477">
        <v>8.3000000000000007</v>
      </c>
      <c r="H477" t="str">
        <f t="shared" si="73"/>
        <v>Heavy Use</v>
      </c>
      <c r="I477" t="s">
        <v>17</v>
      </c>
      <c r="J477" t="s">
        <v>18</v>
      </c>
      <c r="K477">
        <v>4</v>
      </c>
      <c r="L477" t="str">
        <f t="shared" si="74"/>
        <v>Severly Deficient Sleep</v>
      </c>
      <c r="M477">
        <v>5</v>
      </c>
      <c r="N477" t="str">
        <f t="shared" si="75"/>
        <v>Moderate</v>
      </c>
      <c r="O477" t="s">
        <v>20</v>
      </c>
      <c r="P477">
        <v>9</v>
      </c>
      <c r="Q477" t="str">
        <f>IF(P477&gt;=7,"High",IF(P477&gt;=6,"Medium","Low"))</f>
        <v>High</v>
      </c>
    </row>
    <row r="478" spans="1:17" hidden="1" x14ac:dyDescent="0.3">
      <c r="A478">
        <v>478</v>
      </c>
      <c r="B478">
        <v>21</v>
      </c>
      <c r="C478" t="str">
        <f t="shared" si="72"/>
        <v>Young Adult</v>
      </c>
      <c r="D478" t="s">
        <v>21</v>
      </c>
      <c r="E478" t="s">
        <v>22</v>
      </c>
      <c r="F478" t="s">
        <v>62</v>
      </c>
      <c r="G478">
        <v>7.1</v>
      </c>
      <c r="H478" t="str">
        <f t="shared" si="73"/>
        <v>Heavy Use</v>
      </c>
      <c r="I478" t="s">
        <v>214</v>
      </c>
      <c r="J478" t="s">
        <v>18</v>
      </c>
      <c r="K478">
        <v>5.0999999999999996</v>
      </c>
      <c r="L478" t="str">
        <f t="shared" si="74"/>
        <v>Severly Deficient Sleep</v>
      </c>
      <c r="M478">
        <v>6</v>
      </c>
      <c r="N478" t="str">
        <f t="shared" si="75"/>
        <v>Moderate</v>
      </c>
      <c r="O478" t="s">
        <v>28</v>
      </c>
      <c r="P478">
        <v>7</v>
      </c>
      <c r="Q478" t="str">
        <f t="shared" si="71"/>
        <v>High</v>
      </c>
    </row>
    <row r="479" spans="1:17" x14ac:dyDescent="0.3">
      <c r="A479">
        <v>479</v>
      </c>
      <c r="B479">
        <v>20</v>
      </c>
      <c r="C479" t="str">
        <f t="shared" si="72"/>
        <v>Young Adult</v>
      </c>
      <c r="D479" t="s">
        <v>13</v>
      </c>
      <c r="E479" t="s">
        <v>14</v>
      </c>
      <c r="F479" t="s">
        <v>55</v>
      </c>
      <c r="G479">
        <v>3</v>
      </c>
      <c r="H479" t="str">
        <f t="shared" si="73"/>
        <v>Low Use</v>
      </c>
      <c r="I479" t="s">
        <v>17</v>
      </c>
      <c r="J479" t="s">
        <v>26</v>
      </c>
      <c r="K479">
        <v>9</v>
      </c>
      <c r="L479" t="str">
        <f t="shared" si="74"/>
        <v>Excessive Sleep</v>
      </c>
      <c r="M479">
        <v>7</v>
      </c>
      <c r="N479" t="str">
        <f t="shared" si="75"/>
        <v>Sever</v>
      </c>
      <c r="O479" t="s">
        <v>20</v>
      </c>
      <c r="P479">
        <v>5</v>
      </c>
      <c r="Q479" t="str">
        <f t="shared" ref="Q479:Q481" si="79">IF(P479&gt;=7,"High",IF(P479&gt;=6,"Medium","Low"))</f>
        <v>Low</v>
      </c>
    </row>
    <row r="480" spans="1:17" x14ac:dyDescent="0.3">
      <c r="A480">
        <v>480</v>
      </c>
      <c r="B480">
        <v>22</v>
      </c>
      <c r="C480" t="str">
        <f t="shared" si="72"/>
        <v>Young Adult</v>
      </c>
      <c r="D480" t="s">
        <v>21</v>
      </c>
      <c r="E480" t="s">
        <v>22</v>
      </c>
      <c r="F480" t="s">
        <v>39</v>
      </c>
      <c r="G480">
        <v>3.8</v>
      </c>
      <c r="H480" t="str">
        <f t="shared" si="73"/>
        <v>Low Use</v>
      </c>
      <c r="I480" t="s">
        <v>31</v>
      </c>
      <c r="J480" t="s">
        <v>18</v>
      </c>
      <c r="K480">
        <v>8.4</v>
      </c>
      <c r="L480" t="str">
        <f t="shared" si="74"/>
        <v>Sufficient Sleep</v>
      </c>
      <c r="M480">
        <v>6</v>
      </c>
      <c r="N480" t="str">
        <f t="shared" si="75"/>
        <v>Moderate</v>
      </c>
      <c r="O480" t="s">
        <v>28</v>
      </c>
      <c r="P480">
        <v>7</v>
      </c>
      <c r="Q480" t="str">
        <f t="shared" si="79"/>
        <v>High</v>
      </c>
    </row>
    <row r="481" spans="1:17" x14ac:dyDescent="0.3">
      <c r="A481">
        <v>481</v>
      </c>
      <c r="B481">
        <v>19</v>
      </c>
      <c r="C481" t="str">
        <f t="shared" si="72"/>
        <v>Teenager</v>
      </c>
      <c r="D481" t="s">
        <v>13</v>
      </c>
      <c r="E481" t="s">
        <v>14</v>
      </c>
      <c r="F481" t="s">
        <v>58</v>
      </c>
      <c r="G481">
        <v>3.6</v>
      </c>
      <c r="H481" t="str">
        <f t="shared" si="73"/>
        <v>Low Use</v>
      </c>
      <c r="I481" t="s">
        <v>17</v>
      </c>
      <c r="J481" t="s">
        <v>18</v>
      </c>
      <c r="K481">
        <v>8.3000000000000007</v>
      </c>
      <c r="L481" t="str">
        <f t="shared" si="74"/>
        <v>Sufficient Sleep</v>
      </c>
      <c r="M481">
        <v>6</v>
      </c>
      <c r="N481" t="str">
        <f t="shared" si="75"/>
        <v>Moderate</v>
      </c>
      <c r="O481" t="s">
        <v>28</v>
      </c>
      <c r="P481">
        <v>7</v>
      </c>
      <c r="Q481" t="str">
        <f t="shared" si="79"/>
        <v>High</v>
      </c>
    </row>
    <row r="482" spans="1:17" hidden="1" x14ac:dyDescent="0.3">
      <c r="A482">
        <v>482</v>
      </c>
      <c r="B482">
        <v>21</v>
      </c>
      <c r="C482" t="str">
        <f t="shared" si="72"/>
        <v>Young Adult</v>
      </c>
      <c r="D482" t="s">
        <v>21</v>
      </c>
      <c r="E482" t="s">
        <v>22</v>
      </c>
      <c r="F482" t="s">
        <v>73</v>
      </c>
      <c r="G482">
        <v>2.4</v>
      </c>
      <c r="H482" t="str">
        <f t="shared" si="73"/>
        <v>Low Use</v>
      </c>
      <c r="I482" t="s">
        <v>41</v>
      </c>
      <c r="J482" t="s">
        <v>26</v>
      </c>
      <c r="K482">
        <v>9.4</v>
      </c>
      <c r="L482" t="str">
        <f t="shared" si="74"/>
        <v>Excessive Sleep</v>
      </c>
      <c r="M482">
        <v>8</v>
      </c>
      <c r="N482" t="str">
        <f t="shared" si="75"/>
        <v>Sever</v>
      </c>
      <c r="O482" t="s">
        <v>20</v>
      </c>
      <c r="P482">
        <v>4</v>
      </c>
      <c r="Q482" t="str">
        <f t="shared" si="71"/>
        <v>Low</v>
      </c>
    </row>
    <row r="483" spans="1:17" hidden="1" x14ac:dyDescent="0.3">
      <c r="A483">
        <v>483</v>
      </c>
      <c r="B483">
        <v>20</v>
      </c>
      <c r="C483" t="str">
        <f t="shared" si="72"/>
        <v>Young Adult</v>
      </c>
      <c r="D483" t="s">
        <v>13</v>
      </c>
      <c r="E483" t="s">
        <v>14</v>
      </c>
      <c r="F483" t="s">
        <v>91</v>
      </c>
      <c r="G483">
        <v>3.3</v>
      </c>
      <c r="H483" t="str">
        <f t="shared" si="73"/>
        <v>Low Use</v>
      </c>
      <c r="I483" t="s">
        <v>31</v>
      </c>
      <c r="J483" t="s">
        <v>18</v>
      </c>
      <c r="K483">
        <v>8.6</v>
      </c>
      <c r="L483" t="str">
        <f t="shared" si="74"/>
        <v>Sufficient Sleep</v>
      </c>
      <c r="M483">
        <v>7</v>
      </c>
      <c r="N483" t="str">
        <f t="shared" si="75"/>
        <v>Sever</v>
      </c>
      <c r="O483" t="s">
        <v>28</v>
      </c>
      <c r="P483">
        <v>6</v>
      </c>
      <c r="Q483" t="str">
        <f t="shared" si="71"/>
        <v>Medium</v>
      </c>
    </row>
    <row r="484" spans="1:17" x14ac:dyDescent="0.3">
      <c r="A484">
        <v>484</v>
      </c>
      <c r="B484">
        <v>22</v>
      </c>
      <c r="C484" t="str">
        <f t="shared" si="72"/>
        <v>Young Adult</v>
      </c>
      <c r="D484" t="s">
        <v>21</v>
      </c>
      <c r="E484" t="s">
        <v>22</v>
      </c>
      <c r="F484" t="s">
        <v>23</v>
      </c>
      <c r="G484">
        <v>7.4</v>
      </c>
      <c r="H484" t="str">
        <f t="shared" si="73"/>
        <v>Heavy Use</v>
      </c>
      <c r="I484" t="s">
        <v>214</v>
      </c>
      <c r="J484" t="s">
        <v>18</v>
      </c>
      <c r="K484">
        <v>4.9000000000000004</v>
      </c>
      <c r="L484" t="str">
        <f t="shared" si="74"/>
        <v>Severly Deficient Sleep</v>
      </c>
      <c r="M484">
        <v>5</v>
      </c>
      <c r="N484" t="str">
        <f t="shared" si="75"/>
        <v>Moderate</v>
      </c>
      <c r="O484" t="s">
        <v>20</v>
      </c>
      <c r="P484">
        <v>8</v>
      </c>
      <c r="Q484" t="str">
        <f>IF(P484&gt;=7,"High",IF(P484&gt;=6,"Medium","Low"))</f>
        <v>High</v>
      </c>
    </row>
    <row r="485" spans="1:17" hidden="1" x14ac:dyDescent="0.3">
      <c r="A485">
        <v>485</v>
      </c>
      <c r="B485">
        <v>19</v>
      </c>
      <c r="C485" t="str">
        <f t="shared" si="72"/>
        <v>Teenager</v>
      </c>
      <c r="D485" t="s">
        <v>13</v>
      </c>
      <c r="E485" t="s">
        <v>14</v>
      </c>
      <c r="F485" t="s">
        <v>81</v>
      </c>
      <c r="G485">
        <v>2.2999999999999998</v>
      </c>
      <c r="H485" t="str">
        <f t="shared" si="73"/>
        <v>Low Use</v>
      </c>
      <c r="I485" t="s">
        <v>17</v>
      </c>
      <c r="J485" t="s">
        <v>26</v>
      </c>
      <c r="K485">
        <v>9.5</v>
      </c>
      <c r="L485" t="str">
        <f t="shared" si="74"/>
        <v>Excessive Sleep</v>
      </c>
      <c r="M485">
        <v>8</v>
      </c>
      <c r="N485" t="str">
        <f t="shared" si="75"/>
        <v>Sever</v>
      </c>
      <c r="O485" t="s">
        <v>28</v>
      </c>
      <c r="P485">
        <v>4</v>
      </c>
      <c r="Q485" t="str">
        <f t="shared" si="71"/>
        <v>Low</v>
      </c>
    </row>
    <row r="486" spans="1:17" hidden="1" x14ac:dyDescent="0.3">
      <c r="A486">
        <v>486</v>
      </c>
      <c r="B486">
        <v>21</v>
      </c>
      <c r="C486" t="str">
        <f t="shared" si="72"/>
        <v>Young Adult</v>
      </c>
      <c r="D486" t="s">
        <v>21</v>
      </c>
      <c r="E486" t="s">
        <v>22</v>
      </c>
      <c r="F486" t="s">
        <v>109</v>
      </c>
      <c r="G486">
        <v>3.9</v>
      </c>
      <c r="H486" t="str">
        <f t="shared" si="73"/>
        <v>Low Use</v>
      </c>
      <c r="I486" t="s">
        <v>17</v>
      </c>
      <c r="J486" t="s">
        <v>18</v>
      </c>
      <c r="K486">
        <v>8.3000000000000007</v>
      </c>
      <c r="L486" t="str">
        <f t="shared" si="74"/>
        <v>Sufficient Sleep</v>
      </c>
      <c r="M486">
        <v>6</v>
      </c>
      <c r="N486" t="str">
        <f t="shared" si="75"/>
        <v>Moderate</v>
      </c>
      <c r="O486" t="s">
        <v>28</v>
      </c>
      <c r="P486">
        <v>7</v>
      </c>
      <c r="Q486" t="str">
        <f t="shared" si="71"/>
        <v>High</v>
      </c>
    </row>
    <row r="487" spans="1:17" x14ac:dyDescent="0.3">
      <c r="A487">
        <v>487</v>
      </c>
      <c r="B487">
        <v>20</v>
      </c>
      <c r="C487" t="str">
        <f t="shared" si="72"/>
        <v>Young Adult</v>
      </c>
      <c r="D487" t="s">
        <v>13</v>
      </c>
      <c r="E487" t="s">
        <v>14</v>
      </c>
      <c r="F487" t="s">
        <v>29</v>
      </c>
      <c r="G487">
        <v>8.4</v>
      </c>
      <c r="H487" t="str">
        <f t="shared" si="73"/>
        <v>Heavy Use</v>
      </c>
      <c r="I487" t="s">
        <v>31</v>
      </c>
      <c r="J487" t="s">
        <v>18</v>
      </c>
      <c r="K487">
        <v>3.9</v>
      </c>
      <c r="L487" t="str">
        <f t="shared" si="74"/>
        <v>Severly Deficient Sleep</v>
      </c>
      <c r="M487">
        <v>5</v>
      </c>
      <c r="N487" t="str">
        <f t="shared" si="75"/>
        <v>Moderate</v>
      </c>
      <c r="O487" t="s">
        <v>20</v>
      </c>
      <c r="P487">
        <v>9</v>
      </c>
      <c r="Q487" t="str">
        <f>IF(P487&gt;=7,"High",IF(P487&gt;=6,"Medium","Low"))</f>
        <v>High</v>
      </c>
    </row>
    <row r="488" spans="1:17" hidden="1" x14ac:dyDescent="0.3">
      <c r="A488">
        <v>488</v>
      </c>
      <c r="B488">
        <v>22</v>
      </c>
      <c r="C488" t="str">
        <f t="shared" si="72"/>
        <v>Young Adult</v>
      </c>
      <c r="D488" t="s">
        <v>21</v>
      </c>
      <c r="E488" t="s">
        <v>22</v>
      </c>
      <c r="F488" t="s">
        <v>62</v>
      </c>
      <c r="G488">
        <v>7.2</v>
      </c>
      <c r="H488" t="str">
        <f t="shared" si="73"/>
        <v>Heavy Use</v>
      </c>
      <c r="I488" t="s">
        <v>214</v>
      </c>
      <c r="J488" t="s">
        <v>18</v>
      </c>
      <c r="K488">
        <v>5</v>
      </c>
      <c r="L488" t="str">
        <f t="shared" si="74"/>
        <v>Severly Deficient Sleep</v>
      </c>
      <c r="M488">
        <v>6</v>
      </c>
      <c r="N488" t="str">
        <f t="shared" si="75"/>
        <v>Moderate</v>
      </c>
      <c r="O488" t="s">
        <v>28</v>
      </c>
      <c r="P488">
        <v>7</v>
      </c>
      <c r="Q488" t="str">
        <f t="shared" si="71"/>
        <v>High</v>
      </c>
    </row>
    <row r="489" spans="1:17" x14ac:dyDescent="0.3">
      <c r="A489">
        <v>489</v>
      </c>
      <c r="B489">
        <v>19</v>
      </c>
      <c r="C489" t="str">
        <f t="shared" si="72"/>
        <v>Teenager</v>
      </c>
      <c r="D489" t="s">
        <v>13</v>
      </c>
      <c r="E489" t="s">
        <v>14</v>
      </c>
      <c r="F489" t="s">
        <v>55</v>
      </c>
      <c r="G489">
        <v>2.9</v>
      </c>
      <c r="H489" t="str">
        <f t="shared" si="73"/>
        <v>Low Use</v>
      </c>
      <c r="I489" t="s">
        <v>17</v>
      </c>
      <c r="J489" t="s">
        <v>26</v>
      </c>
      <c r="K489">
        <v>9.1</v>
      </c>
      <c r="L489" t="str">
        <f t="shared" si="74"/>
        <v>Excessive Sleep</v>
      </c>
      <c r="M489">
        <v>7</v>
      </c>
      <c r="N489" t="str">
        <f t="shared" si="75"/>
        <v>Sever</v>
      </c>
      <c r="O489" t="s">
        <v>20</v>
      </c>
      <c r="P489">
        <v>5</v>
      </c>
      <c r="Q489" t="str">
        <f t="shared" ref="Q489:Q491" si="80">IF(P489&gt;=7,"High",IF(P489&gt;=6,"Medium","Low"))</f>
        <v>Low</v>
      </c>
    </row>
    <row r="490" spans="1:17" x14ac:dyDescent="0.3">
      <c r="A490">
        <v>490</v>
      </c>
      <c r="B490">
        <v>21</v>
      </c>
      <c r="C490" t="str">
        <f t="shared" si="72"/>
        <v>Young Adult</v>
      </c>
      <c r="D490" t="s">
        <v>21</v>
      </c>
      <c r="E490" t="s">
        <v>22</v>
      </c>
      <c r="F490" t="s">
        <v>39</v>
      </c>
      <c r="G490">
        <v>3.7</v>
      </c>
      <c r="H490" t="str">
        <f t="shared" si="73"/>
        <v>Low Use</v>
      </c>
      <c r="I490" t="s">
        <v>17</v>
      </c>
      <c r="J490" t="s">
        <v>18</v>
      </c>
      <c r="K490">
        <v>8.5</v>
      </c>
      <c r="L490" t="str">
        <f t="shared" si="74"/>
        <v>Sufficient Sleep</v>
      </c>
      <c r="M490">
        <v>6</v>
      </c>
      <c r="N490" t="str">
        <f t="shared" si="75"/>
        <v>Moderate</v>
      </c>
      <c r="O490" t="s">
        <v>28</v>
      </c>
      <c r="P490">
        <v>7</v>
      </c>
      <c r="Q490" t="str">
        <f t="shared" si="80"/>
        <v>High</v>
      </c>
    </row>
    <row r="491" spans="1:17" x14ac:dyDescent="0.3">
      <c r="A491">
        <v>491</v>
      </c>
      <c r="B491">
        <v>20</v>
      </c>
      <c r="C491" t="str">
        <f t="shared" si="72"/>
        <v>Young Adult</v>
      </c>
      <c r="D491" t="s">
        <v>13</v>
      </c>
      <c r="E491" t="s">
        <v>14</v>
      </c>
      <c r="F491" t="s">
        <v>58</v>
      </c>
      <c r="G491">
        <v>3.5</v>
      </c>
      <c r="H491" t="str">
        <f t="shared" si="73"/>
        <v>Low Use</v>
      </c>
      <c r="I491" t="s">
        <v>31</v>
      </c>
      <c r="J491" t="s">
        <v>18</v>
      </c>
      <c r="K491">
        <v>8.4</v>
      </c>
      <c r="L491" t="str">
        <f t="shared" si="74"/>
        <v>Sufficient Sleep</v>
      </c>
      <c r="M491">
        <v>6</v>
      </c>
      <c r="N491" t="str">
        <f t="shared" si="75"/>
        <v>Moderate</v>
      </c>
      <c r="O491" t="s">
        <v>28</v>
      </c>
      <c r="P491">
        <v>7</v>
      </c>
      <c r="Q491" t="str">
        <f t="shared" si="80"/>
        <v>High</v>
      </c>
    </row>
    <row r="492" spans="1:17" hidden="1" x14ac:dyDescent="0.3">
      <c r="A492">
        <v>492</v>
      </c>
      <c r="B492">
        <v>22</v>
      </c>
      <c r="C492" t="str">
        <f t="shared" si="72"/>
        <v>Young Adult</v>
      </c>
      <c r="D492" t="s">
        <v>21</v>
      </c>
      <c r="E492" t="s">
        <v>22</v>
      </c>
      <c r="F492" t="s">
        <v>73</v>
      </c>
      <c r="G492">
        <v>2.2999999999999998</v>
      </c>
      <c r="H492" t="str">
        <f t="shared" si="73"/>
        <v>Low Use</v>
      </c>
      <c r="I492" t="s">
        <v>41</v>
      </c>
      <c r="J492" t="s">
        <v>26</v>
      </c>
      <c r="K492">
        <v>9.5</v>
      </c>
      <c r="L492" t="str">
        <f t="shared" si="74"/>
        <v>Excessive Sleep</v>
      </c>
      <c r="M492">
        <v>8</v>
      </c>
      <c r="N492" t="str">
        <f t="shared" si="75"/>
        <v>Sever</v>
      </c>
      <c r="O492" t="s">
        <v>20</v>
      </c>
      <c r="P492">
        <v>4</v>
      </c>
      <c r="Q492" t="str">
        <f t="shared" si="71"/>
        <v>Low</v>
      </c>
    </row>
    <row r="493" spans="1:17" hidden="1" x14ac:dyDescent="0.3">
      <c r="A493">
        <v>493</v>
      </c>
      <c r="B493">
        <v>19</v>
      </c>
      <c r="C493" t="str">
        <f t="shared" si="72"/>
        <v>Teenager</v>
      </c>
      <c r="D493" t="s">
        <v>13</v>
      </c>
      <c r="E493" t="s">
        <v>14</v>
      </c>
      <c r="F493" t="s">
        <v>91</v>
      </c>
      <c r="G493">
        <v>3.2</v>
      </c>
      <c r="H493" t="str">
        <f t="shared" si="73"/>
        <v>Low Use</v>
      </c>
      <c r="I493" t="s">
        <v>17</v>
      </c>
      <c r="J493" t="s">
        <v>18</v>
      </c>
      <c r="K493">
        <v>8.6999999999999993</v>
      </c>
      <c r="L493" t="str">
        <f t="shared" si="74"/>
        <v>Sufficient Sleep</v>
      </c>
      <c r="M493">
        <v>7</v>
      </c>
      <c r="N493" t="str">
        <f t="shared" si="75"/>
        <v>Sever</v>
      </c>
      <c r="O493" t="s">
        <v>28</v>
      </c>
      <c r="P493">
        <v>6</v>
      </c>
      <c r="Q493" t="str">
        <f t="shared" si="71"/>
        <v>Medium</v>
      </c>
    </row>
    <row r="494" spans="1:17" x14ac:dyDescent="0.3">
      <c r="A494">
        <v>494</v>
      </c>
      <c r="B494">
        <v>21</v>
      </c>
      <c r="C494" t="str">
        <f t="shared" si="72"/>
        <v>Young Adult</v>
      </c>
      <c r="D494" t="s">
        <v>21</v>
      </c>
      <c r="E494" t="s">
        <v>22</v>
      </c>
      <c r="F494" t="s">
        <v>23</v>
      </c>
      <c r="G494">
        <v>7.5</v>
      </c>
      <c r="H494" t="str">
        <f t="shared" si="73"/>
        <v>Heavy Use</v>
      </c>
      <c r="I494" t="s">
        <v>214</v>
      </c>
      <c r="J494" t="s">
        <v>18</v>
      </c>
      <c r="K494">
        <v>4.8</v>
      </c>
      <c r="L494" t="str">
        <f t="shared" si="74"/>
        <v>Severly Deficient Sleep</v>
      </c>
      <c r="M494">
        <v>5</v>
      </c>
      <c r="N494" t="str">
        <f t="shared" si="75"/>
        <v>Moderate</v>
      </c>
      <c r="O494" t="s">
        <v>20</v>
      </c>
      <c r="P494">
        <v>8</v>
      </c>
      <c r="Q494" t="str">
        <f>IF(P494&gt;=7,"High",IF(P494&gt;=6,"Medium","Low"))</f>
        <v>High</v>
      </c>
    </row>
    <row r="495" spans="1:17" hidden="1" x14ac:dyDescent="0.3">
      <c r="A495">
        <v>495</v>
      </c>
      <c r="B495">
        <v>20</v>
      </c>
      <c r="C495" t="str">
        <f t="shared" si="72"/>
        <v>Young Adult</v>
      </c>
      <c r="D495" t="s">
        <v>13</v>
      </c>
      <c r="E495" t="s">
        <v>14</v>
      </c>
      <c r="F495" t="s">
        <v>81</v>
      </c>
      <c r="G495">
        <v>2.2000000000000002</v>
      </c>
      <c r="H495" t="str">
        <f t="shared" si="73"/>
        <v>Low Use</v>
      </c>
      <c r="I495" t="s">
        <v>17</v>
      </c>
      <c r="J495" t="s">
        <v>26</v>
      </c>
      <c r="K495">
        <v>9.6</v>
      </c>
      <c r="L495" t="str">
        <f t="shared" si="74"/>
        <v>Excessive Sleep</v>
      </c>
      <c r="M495">
        <v>8</v>
      </c>
      <c r="N495" t="str">
        <f t="shared" si="75"/>
        <v>Sever</v>
      </c>
      <c r="O495" t="s">
        <v>28</v>
      </c>
      <c r="P495">
        <v>4</v>
      </c>
      <c r="Q495" t="str">
        <f t="shared" si="71"/>
        <v>Low</v>
      </c>
    </row>
    <row r="496" spans="1:17" hidden="1" x14ac:dyDescent="0.3">
      <c r="A496">
        <v>496</v>
      </c>
      <c r="B496">
        <v>22</v>
      </c>
      <c r="C496" t="str">
        <f t="shared" si="72"/>
        <v>Young Adult</v>
      </c>
      <c r="D496" t="s">
        <v>21</v>
      </c>
      <c r="E496" t="s">
        <v>22</v>
      </c>
      <c r="F496" t="s">
        <v>109</v>
      </c>
      <c r="G496">
        <v>3.8</v>
      </c>
      <c r="H496" t="str">
        <f t="shared" si="73"/>
        <v>Low Use</v>
      </c>
      <c r="I496" t="s">
        <v>31</v>
      </c>
      <c r="J496" t="s">
        <v>18</v>
      </c>
      <c r="K496">
        <v>8.4</v>
      </c>
      <c r="L496" t="str">
        <f t="shared" si="74"/>
        <v>Sufficient Sleep</v>
      </c>
      <c r="M496">
        <v>6</v>
      </c>
      <c r="N496" t="str">
        <f t="shared" si="75"/>
        <v>Moderate</v>
      </c>
      <c r="O496" t="s">
        <v>28</v>
      </c>
      <c r="P496">
        <v>7</v>
      </c>
      <c r="Q496" t="str">
        <f t="shared" si="71"/>
        <v>High</v>
      </c>
    </row>
    <row r="497" spans="1:17" x14ac:dyDescent="0.3">
      <c r="A497">
        <v>497</v>
      </c>
      <c r="B497">
        <v>19</v>
      </c>
      <c r="C497" t="str">
        <f t="shared" si="72"/>
        <v>Teenager</v>
      </c>
      <c r="D497" t="s">
        <v>13</v>
      </c>
      <c r="E497" t="s">
        <v>14</v>
      </c>
      <c r="F497" t="s">
        <v>29</v>
      </c>
      <c r="G497">
        <v>8.5</v>
      </c>
      <c r="H497" t="str">
        <f t="shared" si="73"/>
        <v>Heavy Use</v>
      </c>
      <c r="I497" t="s">
        <v>17</v>
      </c>
      <c r="J497" t="s">
        <v>18</v>
      </c>
      <c r="K497">
        <v>3.8</v>
      </c>
      <c r="L497" t="str">
        <f t="shared" si="74"/>
        <v>Severly Deficient Sleep</v>
      </c>
      <c r="M497">
        <v>5</v>
      </c>
      <c r="N497" t="str">
        <f t="shared" si="75"/>
        <v>Moderate</v>
      </c>
      <c r="O497" t="s">
        <v>20</v>
      </c>
      <c r="P497">
        <v>9</v>
      </c>
      <c r="Q497" t="str">
        <f>IF(P497&gt;=7,"High",IF(P497&gt;=6,"Medium","Low"))</f>
        <v>High</v>
      </c>
    </row>
    <row r="498" spans="1:17" hidden="1" x14ac:dyDescent="0.3">
      <c r="A498">
        <v>498</v>
      </c>
      <c r="B498">
        <v>21</v>
      </c>
      <c r="C498" t="str">
        <f t="shared" si="72"/>
        <v>Young Adult</v>
      </c>
      <c r="D498" t="s">
        <v>21</v>
      </c>
      <c r="E498" t="s">
        <v>22</v>
      </c>
      <c r="F498" t="s">
        <v>62</v>
      </c>
      <c r="G498">
        <v>7.3</v>
      </c>
      <c r="H498" t="str">
        <f t="shared" si="73"/>
        <v>Heavy Use</v>
      </c>
      <c r="I498" t="s">
        <v>214</v>
      </c>
      <c r="J498" t="s">
        <v>18</v>
      </c>
      <c r="K498">
        <v>4.9000000000000004</v>
      </c>
      <c r="L498" t="str">
        <f t="shared" si="74"/>
        <v>Severly Deficient Sleep</v>
      </c>
      <c r="M498">
        <v>6</v>
      </c>
      <c r="N498" t="str">
        <f t="shared" si="75"/>
        <v>Moderate</v>
      </c>
      <c r="O498" t="s">
        <v>28</v>
      </c>
      <c r="P498">
        <v>7</v>
      </c>
      <c r="Q498" t="str">
        <f t="shared" si="71"/>
        <v>High</v>
      </c>
    </row>
    <row r="499" spans="1:17" x14ac:dyDescent="0.3">
      <c r="A499">
        <v>499</v>
      </c>
      <c r="B499">
        <v>20</v>
      </c>
      <c r="C499" t="str">
        <f t="shared" si="72"/>
        <v>Young Adult</v>
      </c>
      <c r="D499" t="s">
        <v>13</v>
      </c>
      <c r="E499" t="s">
        <v>14</v>
      </c>
      <c r="F499" t="s">
        <v>55</v>
      </c>
      <c r="G499">
        <v>2.8</v>
      </c>
      <c r="H499" t="str">
        <f t="shared" si="73"/>
        <v>Low Use</v>
      </c>
      <c r="I499" t="s">
        <v>17</v>
      </c>
      <c r="J499" t="s">
        <v>26</v>
      </c>
      <c r="K499">
        <v>9.1999999999999993</v>
      </c>
      <c r="L499" t="str">
        <f t="shared" si="74"/>
        <v>Excessive Sleep</v>
      </c>
      <c r="M499">
        <v>7</v>
      </c>
      <c r="N499" t="str">
        <f t="shared" si="75"/>
        <v>Sever</v>
      </c>
      <c r="O499" t="s">
        <v>20</v>
      </c>
      <c r="P499">
        <v>5</v>
      </c>
      <c r="Q499" t="str">
        <f t="shared" ref="Q499:Q500" si="81">IF(P499&gt;=7,"High",IF(P499&gt;=6,"Medium","Low"))</f>
        <v>Low</v>
      </c>
    </row>
    <row r="500" spans="1:17" x14ac:dyDescent="0.3">
      <c r="A500">
        <v>500</v>
      </c>
      <c r="B500">
        <v>22</v>
      </c>
      <c r="C500" t="str">
        <f t="shared" si="72"/>
        <v>Young Adult</v>
      </c>
      <c r="D500" t="s">
        <v>21</v>
      </c>
      <c r="E500" t="s">
        <v>22</v>
      </c>
      <c r="F500" t="s">
        <v>39</v>
      </c>
      <c r="G500">
        <v>3.6</v>
      </c>
      <c r="H500" t="str">
        <f t="shared" si="73"/>
        <v>Low Use</v>
      </c>
      <c r="I500" t="s">
        <v>31</v>
      </c>
      <c r="J500" t="s">
        <v>18</v>
      </c>
      <c r="K500">
        <v>8.6</v>
      </c>
      <c r="L500" t="str">
        <f t="shared" si="74"/>
        <v>Sufficient Sleep</v>
      </c>
      <c r="M500">
        <v>6</v>
      </c>
      <c r="N500" t="str">
        <f t="shared" si="75"/>
        <v>Moderate</v>
      </c>
      <c r="O500" t="s">
        <v>28</v>
      </c>
      <c r="P500">
        <v>7</v>
      </c>
      <c r="Q500" t="str">
        <f t="shared" si="81"/>
        <v>High</v>
      </c>
    </row>
    <row r="501" spans="1:17" hidden="1" x14ac:dyDescent="0.3">
      <c r="A501">
        <v>501</v>
      </c>
      <c r="B501">
        <v>19</v>
      </c>
      <c r="C501" t="str">
        <f t="shared" si="72"/>
        <v>Teenager</v>
      </c>
      <c r="D501" t="s">
        <v>13</v>
      </c>
      <c r="E501" t="s">
        <v>14</v>
      </c>
      <c r="F501" t="s">
        <v>48</v>
      </c>
      <c r="G501">
        <v>6.2</v>
      </c>
      <c r="H501" t="str">
        <f t="shared" si="73"/>
        <v>Heavy Use</v>
      </c>
      <c r="I501" t="s">
        <v>214</v>
      </c>
      <c r="J501" t="s">
        <v>18</v>
      </c>
      <c r="K501">
        <v>6.3</v>
      </c>
      <c r="L501" t="str">
        <f t="shared" si="74"/>
        <v>Severly Deficient Sleep</v>
      </c>
      <c r="M501">
        <v>6</v>
      </c>
      <c r="N501" t="str">
        <f t="shared" si="75"/>
        <v>Moderate</v>
      </c>
      <c r="O501" t="s">
        <v>28</v>
      </c>
      <c r="P501">
        <v>7</v>
      </c>
      <c r="Q501" t="str">
        <f t="shared" si="71"/>
        <v>High</v>
      </c>
    </row>
    <row r="502" spans="1:17" hidden="1" x14ac:dyDescent="0.3">
      <c r="A502">
        <v>502</v>
      </c>
      <c r="B502">
        <v>21</v>
      </c>
      <c r="C502" t="str">
        <f t="shared" si="72"/>
        <v>Young Adult</v>
      </c>
      <c r="D502" t="s">
        <v>21</v>
      </c>
      <c r="E502" t="s">
        <v>22</v>
      </c>
      <c r="F502" t="s">
        <v>66</v>
      </c>
      <c r="G502">
        <v>4.5</v>
      </c>
      <c r="H502" t="str">
        <f t="shared" si="73"/>
        <v>Moderate Use</v>
      </c>
      <c r="I502" t="s">
        <v>222</v>
      </c>
      <c r="J502" t="s">
        <v>26</v>
      </c>
      <c r="K502">
        <v>7.8</v>
      </c>
      <c r="L502" t="str">
        <f t="shared" si="74"/>
        <v>Sufficient Sleep</v>
      </c>
      <c r="M502">
        <v>7</v>
      </c>
      <c r="N502" t="str">
        <f t="shared" si="75"/>
        <v>Sever</v>
      </c>
      <c r="O502" t="s">
        <v>20</v>
      </c>
      <c r="Q502">
        <v>5</v>
      </c>
    </row>
    <row r="503" spans="1:17" hidden="1" x14ac:dyDescent="0.3">
      <c r="A503">
        <v>503</v>
      </c>
      <c r="B503">
        <v>20</v>
      </c>
      <c r="C503" t="str">
        <f t="shared" si="72"/>
        <v>Young Adult</v>
      </c>
      <c r="D503" t="s">
        <v>13</v>
      </c>
      <c r="E503" t="s">
        <v>14</v>
      </c>
      <c r="F503" t="s">
        <v>76</v>
      </c>
      <c r="G503">
        <v>3.8</v>
      </c>
      <c r="H503" t="str">
        <f t="shared" si="73"/>
        <v>Low Use</v>
      </c>
      <c r="I503" t="s">
        <v>17</v>
      </c>
      <c r="J503" t="s">
        <v>26</v>
      </c>
      <c r="K503">
        <v>8.1999999999999993</v>
      </c>
      <c r="L503" t="str">
        <f t="shared" si="74"/>
        <v>Sufficient Sleep</v>
      </c>
      <c r="M503">
        <v>8</v>
      </c>
      <c r="N503" t="str">
        <f t="shared" si="75"/>
        <v>Sever</v>
      </c>
      <c r="O503" t="s">
        <v>28</v>
      </c>
      <c r="P503">
        <v>4</v>
      </c>
      <c r="Q503" t="str">
        <f t="shared" ref="Q503:Q511" si="82">IF(P503&gt;=7,"High",IF(P503&gt;=5,"Medium","Low"))</f>
        <v>Low</v>
      </c>
    </row>
    <row r="504" spans="1:17" hidden="1" x14ac:dyDescent="0.3">
      <c r="A504">
        <v>504</v>
      </c>
      <c r="B504">
        <v>22</v>
      </c>
      <c r="C504" t="str">
        <f t="shared" si="72"/>
        <v>Young Adult</v>
      </c>
      <c r="D504" t="s">
        <v>21</v>
      </c>
      <c r="E504" t="s">
        <v>22</v>
      </c>
      <c r="F504" t="s">
        <v>93</v>
      </c>
      <c r="G504">
        <v>4.7</v>
      </c>
      <c r="H504" t="str">
        <f t="shared" si="73"/>
        <v>Moderate Use</v>
      </c>
      <c r="I504" t="s">
        <v>17</v>
      </c>
      <c r="J504" t="s">
        <v>18</v>
      </c>
      <c r="K504">
        <v>7.5</v>
      </c>
      <c r="L504" t="str">
        <f t="shared" si="74"/>
        <v>Sufficient Sleep</v>
      </c>
      <c r="M504">
        <v>7</v>
      </c>
      <c r="N504" t="str">
        <f t="shared" si="75"/>
        <v>Sever</v>
      </c>
      <c r="O504" t="s">
        <v>20</v>
      </c>
      <c r="P504">
        <v>6</v>
      </c>
      <c r="Q504" t="str">
        <f t="shared" si="82"/>
        <v>Medium</v>
      </c>
    </row>
    <row r="505" spans="1:17" hidden="1" x14ac:dyDescent="0.3">
      <c r="A505">
        <v>505</v>
      </c>
      <c r="B505">
        <v>19</v>
      </c>
      <c r="C505" t="str">
        <f t="shared" si="72"/>
        <v>Teenager</v>
      </c>
      <c r="D505" t="s">
        <v>13</v>
      </c>
      <c r="E505" t="s">
        <v>14</v>
      </c>
      <c r="F505" t="s">
        <v>96</v>
      </c>
      <c r="G505">
        <v>5.0999999999999996</v>
      </c>
      <c r="H505" t="str">
        <f t="shared" si="73"/>
        <v>Moderate Use</v>
      </c>
      <c r="I505" t="s">
        <v>31</v>
      </c>
      <c r="J505" t="s">
        <v>18</v>
      </c>
      <c r="K505">
        <v>7</v>
      </c>
      <c r="L505" t="str">
        <f t="shared" si="74"/>
        <v>Sufficient Sleep</v>
      </c>
      <c r="M505">
        <v>6</v>
      </c>
      <c r="N505" t="str">
        <f t="shared" si="75"/>
        <v>Moderate</v>
      </c>
      <c r="O505" t="s">
        <v>28</v>
      </c>
      <c r="P505">
        <v>7</v>
      </c>
      <c r="Q505" t="str">
        <f t="shared" si="82"/>
        <v>High</v>
      </c>
    </row>
    <row r="506" spans="1:17" hidden="1" x14ac:dyDescent="0.3">
      <c r="A506">
        <v>506</v>
      </c>
      <c r="B506">
        <v>21</v>
      </c>
      <c r="C506" t="str">
        <f t="shared" si="72"/>
        <v>Young Adult</v>
      </c>
      <c r="D506" t="s">
        <v>21</v>
      </c>
      <c r="E506" t="s">
        <v>22</v>
      </c>
      <c r="F506" t="s">
        <v>98</v>
      </c>
      <c r="G506">
        <v>5.5</v>
      </c>
      <c r="H506" t="str">
        <f t="shared" si="73"/>
        <v>Moderate Use</v>
      </c>
      <c r="I506" t="s">
        <v>214</v>
      </c>
      <c r="J506" t="s">
        <v>18</v>
      </c>
      <c r="K506">
        <v>6.8</v>
      </c>
      <c r="L506" t="str">
        <f t="shared" si="74"/>
        <v>Severly Deficient Sleep</v>
      </c>
      <c r="M506">
        <v>6</v>
      </c>
      <c r="N506" t="str">
        <f t="shared" si="75"/>
        <v>Moderate</v>
      </c>
      <c r="O506" t="s">
        <v>28</v>
      </c>
      <c r="P506">
        <v>7</v>
      </c>
      <c r="Q506" t="str">
        <f t="shared" si="82"/>
        <v>High</v>
      </c>
    </row>
    <row r="507" spans="1:17" hidden="1" x14ac:dyDescent="0.3">
      <c r="A507">
        <v>507</v>
      </c>
      <c r="B507">
        <v>20</v>
      </c>
      <c r="C507" t="str">
        <f t="shared" si="72"/>
        <v>Young Adult</v>
      </c>
      <c r="D507" t="s">
        <v>13</v>
      </c>
      <c r="E507" t="s">
        <v>14</v>
      </c>
      <c r="F507" t="s">
        <v>113</v>
      </c>
      <c r="G507">
        <v>6.5</v>
      </c>
      <c r="H507" t="str">
        <f t="shared" si="73"/>
        <v>Heavy Use</v>
      </c>
      <c r="I507" t="s">
        <v>17</v>
      </c>
      <c r="J507" t="s">
        <v>18</v>
      </c>
      <c r="K507">
        <v>6.5</v>
      </c>
      <c r="L507" t="str">
        <f t="shared" si="74"/>
        <v>Severly Deficient Sleep</v>
      </c>
      <c r="M507">
        <v>5</v>
      </c>
      <c r="N507" t="str">
        <f t="shared" si="75"/>
        <v>Moderate</v>
      </c>
      <c r="O507" t="s">
        <v>20</v>
      </c>
      <c r="P507">
        <v>8</v>
      </c>
      <c r="Q507" t="str">
        <f t="shared" si="82"/>
        <v>High</v>
      </c>
    </row>
    <row r="508" spans="1:17" hidden="1" x14ac:dyDescent="0.3">
      <c r="A508">
        <v>508</v>
      </c>
      <c r="B508">
        <v>22</v>
      </c>
      <c r="C508" t="str">
        <f t="shared" si="72"/>
        <v>Young Adult</v>
      </c>
      <c r="D508" t="s">
        <v>21</v>
      </c>
      <c r="E508" t="s">
        <v>22</v>
      </c>
      <c r="F508" t="s">
        <v>145</v>
      </c>
      <c r="G508">
        <v>4.2</v>
      </c>
      <c r="H508" t="str">
        <f t="shared" si="73"/>
        <v>Moderate Use</v>
      </c>
      <c r="I508" t="s">
        <v>41</v>
      </c>
      <c r="J508" t="s">
        <v>26</v>
      </c>
      <c r="K508">
        <v>7.9</v>
      </c>
      <c r="L508" t="str">
        <f t="shared" si="74"/>
        <v>Sufficient Sleep</v>
      </c>
      <c r="M508">
        <v>7</v>
      </c>
      <c r="N508" t="str">
        <f t="shared" si="75"/>
        <v>Sever</v>
      </c>
      <c r="O508" t="s">
        <v>28</v>
      </c>
      <c r="P508">
        <v>5</v>
      </c>
      <c r="Q508" t="str">
        <f t="shared" si="82"/>
        <v>Medium</v>
      </c>
    </row>
    <row r="509" spans="1:17" x14ac:dyDescent="0.3">
      <c r="A509">
        <v>509</v>
      </c>
      <c r="B509">
        <v>19</v>
      </c>
      <c r="C509" t="str">
        <f t="shared" si="72"/>
        <v>Teenager</v>
      </c>
      <c r="D509" t="s">
        <v>13</v>
      </c>
      <c r="E509" t="s">
        <v>14</v>
      </c>
      <c r="F509" t="s">
        <v>23</v>
      </c>
      <c r="G509">
        <v>6.8</v>
      </c>
      <c r="H509" t="str">
        <f t="shared" si="73"/>
        <v>Heavy Use</v>
      </c>
      <c r="I509" t="s">
        <v>214</v>
      </c>
      <c r="J509" t="s">
        <v>18</v>
      </c>
      <c r="K509">
        <v>6</v>
      </c>
      <c r="L509" t="str">
        <f t="shared" si="74"/>
        <v>Severly Deficient Sleep</v>
      </c>
      <c r="M509">
        <v>5</v>
      </c>
      <c r="N509" t="str">
        <f t="shared" si="75"/>
        <v>Moderate</v>
      </c>
      <c r="O509" t="s">
        <v>20</v>
      </c>
      <c r="P509">
        <v>8</v>
      </c>
      <c r="Q509" t="str">
        <f t="shared" ref="Q509:Q510" si="83">IF(P509&gt;=7,"High",IF(P509&gt;=6,"Medium","Low"))</f>
        <v>High</v>
      </c>
    </row>
    <row r="510" spans="1:17" x14ac:dyDescent="0.3">
      <c r="A510">
        <v>510</v>
      </c>
      <c r="B510">
        <v>21</v>
      </c>
      <c r="C510" t="str">
        <f t="shared" si="72"/>
        <v>Young Adult</v>
      </c>
      <c r="D510" t="s">
        <v>21</v>
      </c>
      <c r="E510" t="s">
        <v>22</v>
      </c>
      <c r="F510" t="s">
        <v>39</v>
      </c>
      <c r="G510">
        <v>4.8</v>
      </c>
      <c r="H510" t="str">
        <f t="shared" si="73"/>
        <v>Moderate Use</v>
      </c>
      <c r="I510" t="s">
        <v>17</v>
      </c>
      <c r="J510" t="s">
        <v>18</v>
      </c>
      <c r="K510">
        <v>7.4</v>
      </c>
      <c r="L510" t="str">
        <f t="shared" si="74"/>
        <v>Sufficient Sleep</v>
      </c>
      <c r="M510">
        <v>7</v>
      </c>
      <c r="N510" t="str">
        <f t="shared" si="75"/>
        <v>Sever</v>
      </c>
      <c r="O510" t="s">
        <v>28</v>
      </c>
      <c r="P510">
        <v>6</v>
      </c>
      <c r="Q510" t="str">
        <f t="shared" si="83"/>
        <v>Medium</v>
      </c>
    </row>
    <row r="511" spans="1:17" hidden="1" x14ac:dyDescent="0.3">
      <c r="A511">
        <v>511</v>
      </c>
      <c r="B511">
        <v>20</v>
      </c>
      <c r="C511" t="str">
        <f t="shared" si="72"/>
        <v>Young Adult</v>
      </c>
      <c r="D511" t="s">
        <v>13</v>
      </c>
      <c r="E511" t="s">
        <v>14</v>
      </c>
      <c r="F511" t="s">
        <v>48</v>
      </c>
      <c r="G511">
        <v>6.1</v>
      </c>
      <c r="H511" t="str">
        <f t="shared" si="73"/>
        <v>Heavy Use</v>
      </c>
      <c r="I511" t="s">
        <v>17</v>
      </c>
      <c r="J511" t="s">
        <v>18</v>
      </c>
      <c r="K511">
        <v>6.4</v>
      </c>
      <c r="L511" t="str">
        <f t="shared" si="74"/>
        <v>Severly Deficient Sleep</v>
      </c>
      <c r="M511">
        <v>6</v>
      </c>
      <c r="N511" t="str">
        <f t="shared" si="75"/>
        <v>Moderate</v>
      </c>
      <c r="O511" t="s">
        <v>28</v>
      </c>
      <c r="P511">
        <v>7</v>
      </c>
      <c r="Q511" t="str">
        <f t="shared" si="82"/>
        <v>High</v>
      </c>
    </row>
    <row r="512" spans="1:17" hidden="1" x14ac:dyDescent="0.3">
      <c r="A512">
        <v>512</v>
      </c>
      <c r="B512">
        <v>22</v>
      </c>
      <c r="C512" t="str">
        <f t="shared" si="72"/>
        <v>Young Adult</v>
      </c>
      <c r="D512" t="s">
        <v>21</v>
      </c>
      <c r="E512" t="s">
        <v>22</v>
      </c>
      <c r="F512" t="s">
        <v>66</v>
      </c>
      <c r="G512">
        <v>4.4000000000000004</v>
      </c>
      <c r="H512" t="str">
        <f t="shared" si="73"/>
        <v>Moderate Use</v>
      </c>
      <c r="I512" t="s">
        <v>222</v>
      </c>
      <c r="J512" t="s">
        <v>26</v>
      </c>
      <c r="K512">
        <v>7.9</v>
      </c>
      <c r="L512" t="str">
        <f t="shared" si="74"/>
        <v>Sufficient Sleep</v>
      </c>
      <c r="M512">
        <v>7</v>
      </c>
      <c r="N512" t="str">
        <f t="shared" si="75"/>
        <v>Sever</v>
      </c>
      <c r="O512" t="s">
        <v>20</v>
      </c>
      <c r="Q512">
        <v>5</v>
      </c>
    </row>
    <row r="513" spans="1:17" hidden="1" x14ac:dyDescent="0.3">
      <c r="A513">
        <v>513</v>
      </c>
      <c r="B513">
        <v>19</v>
      </c>
      <c r="C513" t="str">
        <f t="shared" ref="C513:C576" si="84">IF(B513&gt;=20,"Young Adult","Teenager")</f>
        <v>Teenager</v>
      </c>
      <c r="D513" t="s">
        <v>13</v>
      </c>
      <c r="E513" t="s">
        <v>14</v>
      </c>
      <c r="F513" t="s">
        <v>76</v>
      </c>
      <c r="G513">
        <v>3.7</v>
      </c>
      <c r="H513" t="str">
        <f t="shared" ref="H513:H576" si="85">IF(G513&gt;=6,"Heavy Use",IF(G513&gt;=4,"Moderate Use","Low Use"))</f>
        <v>Low Use</v>
      </c>
      <c r="I513" t="s">
        <v>31</v>
      </c>
      <c r="J513" t="s">
        <v>26</v>
      </c>
      <c r="K513">
        <v>8.3000000000000007</v>
      </c>
      <c r="L513" t="str">
        <f t="shared" ref="L513:L576" si="86">IF(K513&gt;=9,"Excessive Sleep",IF(K513&gt;=7,"Sufficient Sleep","Severly Deficient Sleep"))</f>
        <v>Sufficient Sleep</v>
      </c>
      <c r="M513">
        <v>8</v>
      </c>
      <c r="N513" t="str">
        <f t="shared" ref="N513:N576" si="87">IF(M513&gt;=7,"Sever",IF(M513&lt;=4,"Mild","Moderate"))</f>
        <v>Sever</v>
      </c>
      <c r="O513" t="s">
        <v>28</v>
      </c>
      <c r="P513">
        <v>4</v>
      </c>
      <c r="Q513" t="str">
        <f t="shared" ref="Q513:Q521" si="88">IF(P513&gt;=7,"High",IF(P513&gt;=5,"Medium","Low"))</f>
        <v>Low</v>
      </c>
    </row>
    <row r="514" spans="1:17" hidden="1" x14ac:dyDescent="0.3">
      <c r="A514">
        <v>514</v>
      </c>
      <c r="B514">
        <v>21</v>
      </c>
      <c r="C514" t="str">
        <f t="shared" si="84"/>
        <v>Young Adult</v>
      </c>
      <c r="D514" t="s">
        <v>21</v>
      </c>
      <c r="E514" t="s">
        <v>22</v>
      </c>
      <c r="F514" t="s">
        <v>93</v>
      </c>
      <c r="G514">
        <v>4.5999999999999996</v>
      </c>
      <c r="H514" t="str">
        <f t="shared" si="85"/>
        <v>Moderate Use</v>
      </c>
      <c r="I514" t="s">
        <v>17</v>
      </c>
      <c r="J514" t="s">
        <v>18</v>
      </c>
      <c r="K514">
        <v>7.6</v>
      </c>
      <c r="L514" t="str">
        <f t="shared" si="86"/>
        <v>Sufficient Sleep</v>
      </c>
      <c r="M514">
        <v>7</v>
      </c>
      <c r="N514" t="str">
        <f t="shared" si="87"/>
        <v>Sever</v>
      </c>
      <c r="O514" t="s">
        <v>20</v>
      </c>
      <c r="P514">
        <v>6</v>
      </c>
      <c r="Q514" t="str">
        <f t="shared" si="88"/>
        <v>Medium</v>
      </c>
    </row>
    <row r="515" spans="1:17" hidden="1" x14ac:dyDescent="0.3">
      <c r="A515">
        <v>515</v>
      </c>
      <c r="B515">
        <v>20</v>
      </c>
      <c r="C515" t="str">
        <f t="shared" si="84"/>
        <v>Young Adult</v>
      </c>
      <c r="D515" t="s">
        <v>13</v>
      </c>
      <c r="E515" t="s">
        <v>14</v>
      </c>
      <c r="F515" t="s">
        <v>96</v>
      </c>
      <c r="G515">
        <v>5.2</v>
      </c>
      <c r="H515" t="str">
        <f t="shared" si="85"/>
        <v>Moderate Use</v>
      </c>
      <c r="I515" t="s">
        <v>31</v>
      </c>
      <c r="J515" t="s">
        <v>18</v>
      </c>
      <c r="K515">
        <v>6.9</v>
      </c>
      <c r="L515" t="str">
        <f t="shared" si="86"/>
        <v>Severly Deficient Sleep</v>
      </c>
      <c r="M515">
        <v>6</v>
      </c>
      <c r="N515" t="str">
        <f t="shared" si="87"/>
        <v>Moderate</v>
      </c>
      <c r="O515" t="s">
        <v>28</v>
      </c>
      <c r="P515">
        <v>7</v>
      </c>
      <c r="Q515" t="str">
        <f t="shared" si="88"/>
        <v>High</v>
      </c>
    </row>
    <row r="516" spans="1:17" hidden="1" x14ac:dyDescent="0.3">
      <c r="A516">
        <v>516</v>
      </c>
      <c r="B516">
        <v>22</v>
      </c>
      <c r="C516" t="str">
        <f t="shared" si="84"/>
        <v>Young Adult</v>
      </c>
      <c r="D516" t="s">
        <v>21</v>
      </c>
      <c r="E516" t="s">
        <v>22</v>
      </c>
      <c r="F516" t="s">
        <v>98</v>
      </c>
      <c r="G516">
        <v>5.6</v>
      </c>
      <c r="H516" t="str">
        <f t="shared" si="85"/>
        <v>Moderate Use</v>
      </c>
      <c r="I516" t="s">
        <v>214</v>
      </c>
      <c r="J516" t="s">
        <v>18</v>
      </c>
      <c r="K516">
        <v>6.7</v>
      </c>
      <c r="L516" t="str">
        <f t="shared" si="86"/>
        <v>Severly Deficient Sleep</v>
      </c>
      <c r="M516">
        <v>6</v>
      </c>
      <c r="N516" t="str">
        <f t="shared" si="87"/>
        <v>Moderate</v>
      </c>
      <c r="O516" t="s">
        <v>28</v>
      </c>
      <c r="P516">
        <v>7</v>
      </c>
      <c r="Q516" t="str">
        <f t="shared" si="88"/>
        <v>High</v>
      </c>
    </row>
    <row r="517" spans="1:17" hidden="1" x14ac:dyDescent="0.3">
      <c r="A517">
        <v>517</v>
      </c>
      <c r="B517">
        <v>19</v>
      </c>
      <c r="C517" t="str">
        <f t="shared" si="84"/>
        <v>Teenager</v>
      </c>
      <c r="D517" t="s">
        <v>13</v>
      </c>
      <c r="E517" t="s">
        <v>14</v>
      </c>
      <c r="F517" t="s">
        <v>113</v>
      </c>
      <c r="G517">
        <v>6.6</v>
      </c>
      <c r="H517" t="str">
        <f t="shared" si="85"/>
        <v>Heavy Use</v>
      </c>
      <c r="I517" t="s">
        <v>17</v>
      </c>
      <c r="J517" t="s">
        <v>18</v>
      </c>
      <c r="K517">
        <v>6.4</v>
      </c>
      <c r="L517" t="str">
        <f t="shared" si="86"/>
        <v>Severly Deficient Sleep</v>
      </c>
      <c r="M517">
        <v>5</v>
      </c>
      <c r="N517" t="str">
        <f t="shared" si="87"/>
        <v>Moderate</v>
      </c>
      <c r="O517" t="s">
        <v>20</v>
      </c>
      <c r="P517">
        <v>8</v>
      </c>
      <c r="Q517" t="str">
        <f t="shared" si="88"/>
        <v>High</v>
      </c>
    </row>
    <row r="518" spans="1:17" hidden="1" x14ac:dyDescent="0.3">
      <c r="A518">
        <v>518</v>
      </c>
      <c r="B518">
        <v>21</v>
      </c>
      <c r="C518" t="str">
        <f t="shared" si="84"/>
        <v>Young Adult</v>
      </c>
      <c r="D518" t="s">
        <v>21</v>
      </c>
      <c r="E518" t="s">
        <v>22</v>
      </c>
      <c r="F518" t="s">
        <v>145</v>
      </c>
      <c r="G518">
        <v>4.0999999999999996</v>
      </c>
      <c r="H518" t="str">
        <f t="shared" si="85"/>
        <v>Moderate Use</v>
      </c>
      <c r="I518" t="s">
        <v>41</v>
      </c>
      <c r="J518" t="s">
        <v>26</v>
      </c>
      <c r="K518">
        <v>8</v>
      </c>
      <c r="L518" t="str">
        <f t="shared" si="86"/>
        <v>Sufficient Sleep</v>
      </c>
      <c r="M518">
        <v>7</v>
      </c>
      <c r="N518" t="str">
        <f t="shared" si="87"/>
        <v>Sever</v>
      </c>
      <c r="O518" t="s">
        <v>28</v>
      </c>
      <c r="P518">
        <v>5</v>
      </c>
      <c r="Q518" t="str">
        <f t="shared" si="88"/>
        <v>Medium</v>
      </c>
    </row>
    <row r="519" spans="1:17" x14ac:dyDescent="0.3">
      <c r="A519">
        <v>519</v>
      </c>
      <c r="B519">
        <v>20</v>
      </c>
      <c r="C519" t="str">
        <f t="shared" si="84"/>
        <v>Young Adult</v>
      </c>
      <c r="D519" t="s">
        <v>13</v>
      </c>
      <c r="E519" t="s">
        <v>14</v>
      </c>
      <c r="F519" t="s">
        <v>23</v>
      </c>
      <c r="G519">
        <v>6.9</v>
      </c>
      <c r="H519" t="str">
        <f t="shared" si="85"/>
        <v>Heavy Use</v>
      </c>
      <c r="I519" t="s">
        <v>214</v>
      </c>
      <c r="J519" t="s">
        <v>18</v>
      </c>
      <c r="K519">
        <v>5.9</v>
      </c>
      <c r="L519" t="str">
        <f t="shared" si="86"/>
        <v>Severly Deficient Sleep</v>
      </c>
      <c r="M519">
        <v>5</v>
      </c>
      <c r="N519" t="str">
        <f t="shared" si="87"/>
        <v>Moderate</v>
      </c>
      <c r="O519" t="s">
        <v>20</v>
      </c>
      <c r="P519">
        <v>8</v>
      </c>
      <c r="Q519" t="str">
        <f t="shared" ref="Q519:Q520" si="89">IF(P519&gt;=7,"High",IF(P519&gt;=6,"Medium","Low"))</f>
        <v>High</v>
      </c>
    </row>
    <row r="520" spans="1:17" x14ac:dyDescent="0.3">
      <c r="A520">
        <v>520</v>
      </c>
      <c r="B520">
        <v>22</v>
      </c>
      <c r="C520" t="str">
        <f t="shared" si="84"/>
        <v>Young Adult</v>
      </c>
      <c r="D520" t="s">
        <v>21</v>
      </c>
      <c r="E520" t="s">
        <v>22</v>
      </c>
      <c r="F520" t="s">
        <v>39</v>
      </c>
      <c r="G520">
        <v>4.7</v>
      </c>
      <c r="H520" t="str">
        <f t="shared" si="85"/>
        <v>Moderate Use</v>
      </c>
      <c r="I520" t="s">
        <v>31</v>
      </c>
      <c r="J520" t="s">
        <v>18</v>
      </c>
      <c r="K520">
        <v>7.5</v>
      </c>
      <c r="L520" t="str">
        <f t="shared" si="86"/>
        <v>Sufficient Sleep</v>
      </c>
      <c r="M520">
        <v>7</v>
      </c>
      <c r="N520" t="str">
        <f t="shared" si="87"/>
        <v>Sever</v>
      </c>
      <c r="O520" t="s">
        <v>28</v>
      </c>
      <c r="P520">
        <v>6</v>
      </c>
      <c r="Q520" t="str">
        <f t="shared" si="89"/>
        <v>Medium</v>
      </c>
    </row>
    <row r="521" spans="1:17" hidden="1" x14ac:dyDescent="0.3">
      <c r="A521">
        <v>521</v>
      </c>
      <c r="B521">
        <v>19</v>
      </c>
      <c r="C521" t="str">
        <f t="shared" si="84"/>
        <v>Teenager</v>
      </c>
      <c r="D521" t="s">
        <v>13</v>
      </c>
      <c r="E521" t="s">
        <v>14</v>
      </c>
      <c r="F521" t="s">
        <v>48</v>
      </c>
      <c r="G521">
        <v>6</v>
      </c>
      <c r="H521" t="str">
        <f t="shared" si="85"/>
        <v>Heavy Use</v>
      </c>
      <c r="I521" t="s">
        <v>214</v>
      </c>
      <c r="J521" t="s">
        <v>18</v>
      </c>
      <c r="K521">
        <v>6.5</v>
      </c>
      <c r="L521" t="str">
        <f t="shared" si="86"/>
        <v>Severly Deficient Sleep</v>
      </c>
      <c r="M521">
        <v>6</v>
      </c>
      <c r="N521" t="str">
        <f t="shared" si="87"/>
        <v>Moderate</v>
      </c>
      <c r="O521" t="s">
        <v>28</v>
      </c>
      <c r="P521">
        <v>7</v>
      </c>
      <c r="Q521" t="str">
        <f t="shared" si="88"/>
        <v>High</v>
      </c>
    </row>
    <row r="522" spans="1:17" hidden="1" x14ac:dyDescent="0.3">
      <c r="A522">
        <v>522</v>
      </c>
      <c r="B522">
        <v>21</v>
      </c>
      <c r="C522" t="str">
        <f t="shared" si="84"/>
        <v>Young Adult</v>
      </c>
      <c r="D522" t="s">
        <v>21</v>
      </c>
      <c r="E522" t="s">
        <v>22</v>
      </c>
      <c r="F522" t="s">
        <v>66</v>
      </c>
      <c r="G522">
        <v>4.3</v>
      </c>
      <c r="H522" t="str">
        <f t="shared" si="85"/>
        <v>Moderate Use</v>
      </c>
      <c r="I522" t="s">
        <v>222</v>
      </c>
      <c r="J522" t="s">
        <v>26</v>
      </c>
      <c r="K522">
        <v>8</v>
      </c>
      <c r="L522" t="str">
        <f t="shared" si="86"/>
        <v>Sufficient Sleep</v>
      </c>
      <c r="M522">
        <v>7</v>
      </c>
      <c r="N522" t="str">
        <f t="shared" si="87"/>
        <v>Sever</v>
      </c>
      <c r="O522" t="s">
        <v>20</v>
      </c>
      <c r="Q522">
        <v>5</v>
      </c>
    </row>
    <row r="523" spans="1:17" hidden="1" x14ac:dyDescent="0.3">
      <c r="A523">
        <v>523</v>
      </c>
      <c r="B523">
        <v>20</v>
      </c>
      <c r="C523" t="str">
        <f t="shared" si="84"/>
        <v>Young Adult</v>
      </c>
      <c r="D523" t="s">
        <v>13</v>
      </c>
      <c r="E523" t="s">
        <v>14</v>
      </c>
      <c r="F523" t="s">
        <v>76</v>
      </c>
      <c r="G523">
        <v>3.6</v>
      </c>
      <c r="H523" t="str">
        <f t="shared" si="85"/>
        <v>Low Use</v>
      </c>
      <c r="I523" t="s">
        <v>17</v>
      </c>
      <c r="J523" t="s">
        <v>26</v>
      </c>
      <c r="K523">
        <v>8.4</v>
      </c>
      <c r="L523" t="str">
        <f t="shared" si="86"/>
        <v>Sufficient Sleep</v>
      </c>
      <c r="M523">
        <v>8</v>
      </c>
      <c r="N523" t="str">
        <f t="shared" si="87"/>
        <v>Sever</v>
      </c>
      <c r="O523" t="s">
        <v>28</v>
      </c>
      <c r="P523">
        <v>4</v>
      </c>
      <c r="Q523" t="str">
        <f t="shared" ref="Q523:Q531" si="90">IF(P523&gt;=7,"High",IF(P523&gt;=5,"Medium","Low"))</f>
        <v>Low</v>
      </c>
    </row>
    <row r="524" spans="1:17" hidden="1" x14ac:dyDescent="0.3">
      <c r="A524">
        <v>524</v>
      </c>
      <c r="B524">
        <v>22</v>
      </c>
      <c r="C524" t="str">
        <f t="shared" si="84"/>
        <v>Young Adult</v>
      </c>
      <c r="D524" t="s">
        <v>21</v>
      </c>
      <c r="E524" t="s">
        <v>22</v>
      </c>
      <c r="F524" t="s">
        <v>93</v>
      </c>
      <c r="G524">
        <v>4.5</v>
      </c>
      <c r="H524" t="str">
        <f t="shared" si="85"/>
        <v>Moderate Use</v>
      </c>
      <c r="I524" t="s">
        <v>41</v>
      </c>
      <c r="J524" t="s">
        <v>18</v>
      </c>
      <c r="K524">
        <v>7.7</v>
      </c>
      <c r="L524" t="str">
        <f t="shared" si="86"/>
        <v>Sufficient Sleep</v>
      </c>
      <c r="M524">
        <v>7</v>
      </c>
      <c r="N524" t="str">
        <f t="shared" si="87"/>
        <v>Sever</v>
      </c>
      <c r="O524" t="s">
        <v>20</v>
      </c>
      <c r="P524">
        <v>6</v>
      </c>
      <c r="Q524" t="str">
        <f t="shared" si="90"/>
        <v>Medium</v>
      </c>
    </row>
    <row r="525" spans="1:17" hidden="1" x14ac:dyDescent="0.3">
      <c r="A525">
        <v>525</v>
      </c>
      <c r="B525">
        <v>19</v>
      </c>
      <c r="C525" t="str">
        <f t="shared" si="84"/>
        <v>Teenager</v>
      </c>
      <c r="D525" t="s">
        <v>13</v>
      </c>
      <c r="E525" t="s">
        <v>14</v>
      </c>
      <c r="F525" t="s">
        <v>96</v>
      </c>
      <c r="G525">
        <v>5.3</v>
      </c>
      <c r="H525" t="str">
        <f t="shared" si="85"/>
        <v>Moderate Use</v>
      </c>
      <c r="I525" t="s">
        <v>31</v>
      </c>
      <c r="J525" t="s">
        <v>18</v>
      </c>
      <c r="K525">
        <v>6.8</v>
      </c>
      <c r="L525" t="str">
        <f t="shared" si="86"/>
        <v>Severly Deficient Sleep</v>
      </c>
      <c r="M525">
        <v>6</v>
      </c>
      <c r="N525" t="str">
        <f t="shared" si="87"/>
        <v>Moderate</v>
      </c>
      <c r="O525" t="s">
        <v>28</v>
      </c>
      <c r="P525">
        <v>7</v>
      </c>
      <c r="Q525" t="str">
        <f t="shared" si="90"/>
        <v>High</v>
      </c>
    </row>
    <row r="526" spans="1:17" hidden="1" x14ac:dyDescent="0.3">
      <c r="A526">
        <v>526</v>
      </c>
      <c r="B526">
        <v>21</v>
      </c>
      <c r="C526" t="str">
        <f t="shared" si="84"/>
        <v>Young Adult</v>
      </c>
      <c r="D526" t="s">
        <v>21</v>
      </c>
      <c r="E526" t="s">
        <v>22</v>
      </c>
      <c r="F526" t="s">
        <v>98</v>
      </c>
      <c r="G526">
        <v>5.7</v>
      </c>
      <c r="H526" t="str">
        <f t="shared" si="85"/>
        <v>Moderate Use</v>
      </c>
      <c r="I526" t="s">
        <v>214</v>
      </c>
      <c r="J526" t="s">
        <v>18</v>
      </c>
      <c r="K526">
        <v>6.6</v>
      </c>
      <c r="L526" t="str">
        <f t="shared" si="86"/>
        <v>Severly Deficient Sleep</v>
      </c>
      <c r="M526">
        <v>6</v>
      </c>
      <c r="N526" t="str">
        <f t="shared" si="87"/>
        <v>Moderate</v>
      </c>
      <c r="O526" t="s">
        <v>28</v>
      </c>
      <c r="P526">
        <v>7</v>
      </c>
      <c r="Q526" t="str">
        <f t="shared" si="90"/>
        <v>High</v>
      </c>
    </row>
    <row r="527" spans="1:17" hidden="1" x14ac:dyDescent="0.3">
      <c r="A527">
        <v>527</v>
      </c>
      <c r="B527">
        <v>20</v>
      </c>
      <c r="C527" t="str">
        <f t="shared" si="84"/>
        <v>Young Adult</v>
      </c>
      <c r="D527" t="s">
        <v>13</v>
      </c>
      <c r="E527" t="s">
        <v>14</v>
      </c>
      <c r="F527" t="s">
        <v>113</v>
      </c>
      <c r="G527">
        <v>6.7</v>
      </c>
      <c r="H527" t="str">
        <f t="shared" si="85"/>
        <v>Heavy Use</v>
      </c>
      <c r="I527" t="s">
        <v>17</v>
      </c>
      <c r="J527" t="s">
        <v>18</v>
      </c>
      <c r="K527">
        <v>6.3</v>
      </c>
      <c r="L527" t="str">
        <f t="shared" si="86"/>
        <v>Severly Deficient Sleep</v>
      </c>
      <c r="M527">
        <v>5</v>
      </c>
      <c r="N527" t="str">
        <f t="shared" si="87"/>
        <v>Moderate</v>
      </c>
      <c r="O527" t="s">
        <v>20</v>
      </c>
      <c r="P527">
        <v>8</v>
      </c>
      <c r="Q527" t="str">
        <f t="shared" si="90"/>
        <v>High</v>
      </c>
    </row>
    <row r="528" spans="1:17" hidden="1" x14ac:dyDescent="0.3">
      <c r="A528">
        <v>528</v>
      </c>
      <c r="B528">
        <v>22</v>
      </c>
      <c r="C528" t="str">
        <f t="shared" si="84"/>
        <v>Young Adult</v>
      </c>
      <c r="D528" t="s">
        <v>21</v>
      </c>
      <c r="E528" t="s">
        <v>22</v>
      </c>
      <c r="F528" t="s">
        <v>145</v>
      </c>
      <c r="G528">
        <v>4</v>
      </c>
      <c r="H528" t="str">
        <f t="shared" si="85"/>
        <v>Moderate Use</v>
      </c>
      <c r="I528" t="s">
        <v>41</v>
      </c>
      <c r="J528" t="s">
        <v>26</v>
      </c>
      <c r="K528">
        <v>8.1</v>
      </c>
      <c r="L528" t="str">
        <f t="shared" si="86"/>
        <v>Sufficient Sleep</v>
      </c>
      <c r="M528">
        <v>7</v>
      </c>
      <c r="N528" t="str">
        <f t="shared" si="87"/>
        <v>Sever</v>
      </c>
      <c r="O528" t="s">
        <v>28</v>
      </c>
      <c r="P528">
        <v>5</v>
      </c>
      <c r="Q528" t="str">
        <f t="shared" si="90"/>
        <v>Medium</v>
      </c>
    </row>
    <row r="529" spans="1:17" x14ac:dyDescent="0.3">
      <c r="A529">
        <v>529</v>
      </c>
      <c r="B529">
        <v>19</v>
      </c>
      <c r="C529" t="str">
        <f t="shared" si="84"/>
        <v>Teenager</v>
      </c>
      <c r="D529" t="s">
        <v>13</v>
      </c>
      <c r="E529" t="s">
        <v>14</v>
      </c>
      <c r="F529" t="s">
        <v>23</v>
      </c>
      <c r="G529">
        <v>7</v>
      </c>
      <c r="H529" t="str">
        <f t="shared" si="85"/>
        <v>Heavy Use</v>
      </c>
      <c r="I529" t="s">
        <v>214</v>
      </c>
      <c r="J529" t="s">
        <v>18</v>
      </c>
      <c r="K529">
        <v>5.8</v>
      </c>
      <c r="L529" t="str">
        <f t="shared" si="86"/>
        <v>Severly Deficient Sleep</v>
      </c>
      <c r="M529">
        <v>5</v>
      </c>
      <c r="N529" t="str">
        <f t="shared" si="87"/>
        <v>Moderate</v>
      </c>
      <c r="O529" t="s">
        <v>20</v>
      </c>
      <c r="P529">
        <v>8</v>
      </c>
      <c r="Q529" t="str">
        <f t="shared" ref="Q529:Q530" si="91">IF(P529&gt;=7,"High",IF(P529&gt;=6,"Medium","Low"))</f>
        <v>High</v>
      </c>
    </row>
    <row r="530" spans="1:17" x14ac:dyDescent="0.3">
      <c r="A530">
        <v>530</v>
      </c>
      <c r="B530">
        <v>21</v>
      </c>
      <c r="C530" t="str">
        <f t="shared" si="84"/>
        <v>Young Adult</v>
      </c>
      <c r="D530" t="s">
        <v>21</v>
      </c>
      <c r="E530" t="s">
        <v>22</v>
      </c>
      <c r="F530" t="s">
        <v>39</v>
      </c>
      <c r="G530">
        <v>4.5999999999999996</v>
      </c>
      <c r="H530" t="str">
        <f t="shared" si="85"/>
        <v>Moderate Use</v>
      </c>
      <c r="I530" t="s">
        <v>17</v>
      </c>
      <c r="J530" t="s">
        <v>18</v>
      </c>
      <c r="K530">
        <v>7.6</v>
      </c>
      <c r="L530" t="str">
        <f t="shared" si="86"/>
        <v>Sufficient Sleep</v>
      </c>
      <c r="M530">
        <v>7</v>
      </c>
      <c r="N530" t="str">
        <f t="shared" si="87"/>
        <v>Sever</v>
      </c>
      <c r="O530" t="s">
        <v>28</v>
      </c>
      <c r="P530">
        <v>6</v>
      </c>
      <c r="Q530" t="str">
        <f t="shared" si="91"/>
        <v>Medium</v>
      </c>
    </row>
    <row r="531" spans="1:17" hidden="1" x14ac:dyDescent="0.3">
      <c r="A531">
        <v>531</v>
      </c>
      <c r="B531">
        <v>20</v>
      </c>
      <c r="C531" t="str">
        <f t="shared" si="84"/>
        <v>Young Adult</v>
      </c>
      <c r="D531" t="s">
        <v>13</v>
      </c>
      <c r="E531" t="s">
        <v>14</v>
      </c>
      <c r="F531" t="s">
        <v>48</v>
      </c>
      <c r="G531">
        <v>5.9</v>
      </c>
      <c r="H531" t="str">
        <f t="shared" si="85"/>
        <v>Moderate Use</v>
      </c>
      <c r="I531" t="s">
        <v>31</v>
      </c>
      <c r="J531" t="s">
        <v>18</v>
      </c>
      <c r="K531">
        <v>6.6</v>
      </c>
      <c r="L531" t="str">
        <f t="shared" si="86"/>
        <v>Severly Deficient Sleep</v>
      </c>
      <c r="M531">
        <v>6</v>
      </c>
      <c r="N531" t="str">
        <f t="shared" si="87"/>
        <v>Moderate</v>
      </c>
      <c r="O531" t="s">
        <v>28</v>
      </c>
      <c r="P531">
        <v>7</v>
      </c>
      <c r="Q531" t="str">
        <f t="shared" si="90"/>
        <v>High</v>
      </c>
    </row>
    <row r="532" spans="1:17" hidden="1" x14ac:dyDescent="0.3">
      <c r="A532">
        <v>532</v>
      </c>
      <c r="B532">
        <v>22</v>
      </c>
      <c r="C532" t="str">
        <f t="shared" si="84"/>
        <v>Young Adult</v>
      </c>
      <c r="D532" t="s">
        <v>21</v>
      </c>
      <c r="E532" t="s">
        <v>22</v>
      </c>
      <c r="F532" t="s">
        <v>66</v>
      </c>
      <c r="G532">
        <v>4.2</v>
      </c>
      <c r="H532" t="str">
        <f t="shared" si="85"/>
        <v>Moderate Use</v>
      </c>
      <c r="I532" t="s">
        <v>222</v>
      </c>
      <c r="J532" t="s">
        <v>26</v>
      </c>
      <c r="K532">
        <v>8.1</v>
      </c>
      <c r="L532" t="str">
        <f t="shared" si="86"/>
        <v>Sufficient Sleep</v>
      </c>
      <c r="M532">
        <v>7</v>
      </c>
      <c r="N532" t="str">
        <f t="shared" si="87"/>
        <v>Sever</v>
      </c>
      <c r="O532" t="s">
        <v>20</v>
      </c>
      <c r="Q532">
        <v>5</v>
      </c>
    </row>
    <row r="533" spans="1:17" hidden="1" x14ac:dyDescent="0.3">
      <c r="A533">
        <v>533</v>
      </c>
      <c r="B533">
        <v>19</v>
      </c>
      <c r="C533" t="str">
        <f t="shared" si="84"/>
        <v>Teenager</v>
      </c>
      <c r="D533" t="s">
        <v>13</v>
      </c>
      <c r="E533" t="s">
        <v>14</v>
      </c>
      <c r="F533" t="s">
        <v>76</v>
      </c>
      <c r="G533">
        <v>3.5</v>
      </c>
      <c r="H533" t="str">
        <f t="shared" si="85"/>
        <v>Low Use</v>
      </c>
      <c r="I533" t="s">
        <v>17</v>
      </c>
      <c r="J533" t="s">
        <v>26</v>
      </c>
      <c r="K533">
        <v>8.5</v>
      </c>
      <c r="L533" t="str">
        <f t="shared" si="86"/>
        <v>Sufficient Sleep</v>
      </c>
      <c r="M533">
        <v>8</v>
      </c>
      <c r="N533" t="str">
        <f t="shared" si="87"/>
        <v>Sever</v>
      </c>
      <c r="O533" t="s">
        <v>28</v>
      </c>
      <c r="P533">
        <v>4</v>
      </c>
      <c r="Q533" t="str">
        <f t="shared" ref="Q533:Q541" si="92">IF(P533&gt;=7,"High",IF(P533&gt;=5,"Medium","Low"))</f>
        <v>Low</v>
      </c>
    </row>
    <row r="534" spans="1:17" hidden="1" x14ac:dyDescent="0.3">
      <c r="A534">
        <v>534</v>
      </c>
      <c r="B534">
        <v>21</v>
      </c>
      <c r="C534" t="str">
        <f t="shared" si="84"/>
        <v>Young Adult</v>
      </c>
      <c r="D534" t="s">
        <v>21</v>
      </c>
      <c r="E534" t="s">
        <v>22</v>
      </c>
      <c r="F534" t="s">
        <v>93</v>
      </c>
      <c r="G534">
        <v>4.4000000000000004</v>
      </c>
      <c r="H534" t="str">
        <f t="shared" si="85"/>
        <v>Moderate Use</v>
      </c>
      <c r="I534" t="s">
        <v>41</v>
      </c>
      <c r="J534" t="s">
        <v>18</v>
      </c>
      <c r="K534">
        <v>7.8</v>
      </c>
      <c r="L534" t="str">
        <f t="shared" si="86"/>
        <v>Sufficient Sleep</v>
      </c>
      <c r="M534">
        <v>7</v>
      </c>
      <c r="N534" t="str">
        <f t="shared" si="87"/>
        <v>Sever</v>
      </c>
      <c r="O534" t="s">
        <v>20</v>
      </c>
      <c r="P534">
        <v>6</v>
      </c>
      <c r="Q534" t="str">
        <f t="shared" si="92"/>
        <v>Medium</v>
      </c>
    </row>
    <row r="535" spans="1:17" hidden="1" x14ac:dyDescent="0.3">
      <c r="A535">
        <v>535</v>
      </c>
      <c r="B535">
        <v>20</v>
      </c>
      <c r="C535" t="str">
        <f t="shared" si="84"/>
        <v>Young Adult</v>
      </c>
      <c r="D535" t="s">
        <v>13</v>
      </c>
      <c r="E535" t="s">
        <v>14</v>
      </c>
      <c r="F535" t="s">
        <v>96</v>
      </c>
      <c r="G535">
        <v>5.4</v>
      </c>
      <c r="H535" t="str">
        <f t="shared" si="85"/>
        <v>Moderate Use</v>
      </c>
      <c r="I535" t="s">
        <v>31</v>
      </c>
      <c r="J535" t="s">
        <v>18</v>
      </c>
      <c r="K535">
        <v>6.7</v>
      </c>
      <c r="L535" t="str">
        <f t="shared" si="86"/>
        <v>Severly Deficient Sleep</v>
      </c>
      <c r="M535">
        <v>6</v>
      </c>
      <c r="N535" t="str">
        <f t="shared" si="87"/>
        <v>Moderate</v>
      </c>
      <c r="O535" t="s">
        <v>28</v>
      </c>
      <c r="P535">
        <v>7</v>
      </c>
      <c r="Q535" t="str">
        <f t="shared" si="92"/>
        <v>High</v>
      </c>
    </row>
    <row r="536" spans="1:17" hidden="1" x14ac:dyDescent="0.3">
      <c r="A536">
        <v>536</v>
      </c>
      <c r="B536">
        <v>22</v>
      </c>
      <c r="C536" t="str">
        <f t="shared" si="84"/>
        <v>Young Adult</v>
      </c>
      <c r="D536" t="s">
        <v>21</v>
      </c>
      <c r="E536" t="s">
        <v>22</v>
      </c>
      <c r="F536" t="s">
        <v>98</v>
      </c>
      <c r="G536">
        <v>5.8</v>
      </c>
      <c r="H536" t="str">
        <f t="shared" si="85"/>
        <v>Moderate Use</v>
      </c>
      <c r="I536" t="s">
        <v>214</v>
      </c>
      <c r="J536" t="s">
        <v>18</v>
      </c>
      <c r="K536">
        <v>6.5</v>
      </c>
      <c r="L536" t="str">
        <f t="shared" si="86"/>
        <v>Severly Deficient Sleep</v>
      </c>
      <c r="M536">
        <v>6</v>
      </c>
      <c r="N536" t="str">
        <f t="shared" si="87"/>
        <v>Moderate</v>
      </c>
      <c r="O536" t="s">
        <v>28</v>
      </c>
      <c r="P536">
        <v>7</v>
      </c>
      <c r="Q536" t="str">
        <f t="shared" si="92"/>
        <v>High</v>
      </c>
    </row>
    <row r="537" spans="1:17" hidden="1" x14ac:dyDescent="0.3">
      <c r="A537">
        <v>537</v>
      </c>
      <c r="B537">
        <v>19</v>
      </c>
      <c r="C537" t="str">
        <f t="shared" si="84"/>
        <v>Teenager</v>
      </c>
      <c r="D537" t="s">
        <v>13</v>
      </c>
      <c r="E537" t="s">
        <v>14</v>
      </c>
      <c r="F537" t="s">
        <v>113</v>
      </c>
      <c r="G537">
        <v>6.8</v>
      </c>
      <c r="H537" t="str">
        <f t="shared" si="85"/>
        <v>Heavy Use</v>
      </c>
      <c r="I537" t="s">
        <v>17</v>
      </c>
      <c r="J537" t="s">
        <v>18</v>
      </c>
      <c r="K537">
        <v>6.2</v>
      </c>
      <c r="L537" t="str">
        <f t="shared" si="86"/>
        <v>Severly Deficient Sleep</v>
      </c>
      <c r="M537">
        <v>5</v>
      </c>
      <c r="N537" t="str">
        <f t="shared" si="87"/>
        <v>Moderate</v>
      </c>
      <c r="O537" t="s">
        <v>20</v>
      </c>
      <c r="P537">
        <v>8</v>
      </c>
      <c r="Q537" t="str">
        <f t="shared" si="92"/>
        <v>High</v>
      </c>
    </row>
    <row r="538" spans="1:17" hidden="1" x14ac:dyDescent="0.3">
      <c r="A538">
        <v>538</v>
      </c>
      <c r="B538">
        <v>21</v>
      </c>
      <c r="C538" t="str">
        <f t="shared" si="84"/>
        <v>Young Adult</v>
      </c>
      <c r="D538" t="s">
        <v>21</v>
      </c>
      <c r="E538" t="s">
        <v>22</v>
      </c>
      <c r="F538" t="s">
        <v>145</v>
      </c>
      <c r="G538">
        <v>3.9</v>
      </c>
      <c r="H538" t="str">
        <f t="shared" si="85"/>
        <v>Low Use</v>
      </c>
      <c r="I538" t="s">
        <v>41</v>
      </c>
      <c r="J538" t="s">
        <v>26</v>
      </c>
      <c r="K538">
        <v>8.1999999999999993</v>
      </c>
      <c r="L538" t="str">
        <f t="shared" si="86"/>
        <v>Sufficient Sleep</v>
      </c>
      <c r="M538">
        <v>7</v>
      </c>
      <c r="N538" t="str">
        <f t="shared" si="87"/>
        <v>Sever</v>
      </c>
      <c r="O538" t="s">
        <v>28</v>
      </c>
      <c r="P538">
        <v>5</v>
      </c>
      <c r="Q538" t="str">
        <f t="shared" si="92"/>
        <v>Medium</v>
      </c>
    </row>
    <row r="539" spans="1:17" x14ac:dyDescent="0.3">
      <c r="A539">
        <v>539</v>
      </c>
      <c r="B539">
        <v>20</v>
      </c>
      <c r="C539" t="str">
        <f t="shared" si="84"/>
        <v>Young Adult</v>
      </c>
      <c r="D539" t="s">
        <v>13</v>
      </c>
      <c r="E539" t="s">
        <v>14</v>
      </c>
      <c r="F539" t="s">
        <v>23</v>
      </c>
      <c r="G539">
        <v>7.1</v>
      </c>
      <c r="H539" t="str">
        <f t="shared" si="85"/>
        <v>Heavy Use</v>
      </c>
      <c r="I539" t="s">
        <v>214</v>
      </c>
      <c r="J539" t="s">
        <v>18</v>
      </c>
      <c r="K539">
        <v>5.7</v>
      </c>
      <c r="L539" t="str">
        <f t="shared" si="86"/>
        <v>Severly Deficient Sleep</v>
      </c>
      <c r="M539">
        <v>5</v>
      </c>
      <c r="N539" t="str">
        <f t="shared" si="87"/>
        <v>Moderate</v>
      </c>
      <c r="O539" t="s">
        <v>20</v>
      </c>
      <c r="P539">
        <v>8</v>
      </c>
      <c r="Q539" t="str">
        <f t="shared" ref="Q539:Q540" si="93">IF(P539&gt;=7,"High",IF(P539&gt;=6,"Medium","Low"))</f>
        <v>High</v>
      </c>
    </row>
    <row r="540" spans="1:17" x14ac:dyDescent="0.3">
      <c r="A540">
        <v>540</v>
      </c>
      <c r="B540">
        <v>22</v>
      </c>
      <c r="C540" t="str">
        <f t="shared" si="84"/>
        <v>Young Adult</v>
      </c>
      <c r="D540" t="s">
        <v>21</v>
      </c>
      <c r="E540" t="s">
        <v>22</v>
      </c>
      <c r="F540" t="s">
        <v>39</v>
      </c>
      <c r="G540">
        <v>4.5</v>
      </c>
      <c r="H540" t="str">
        <f t="shared" si="85"/>
        <v>Moderate Use</v>
      </c>
      <c r="I540" t="s">
        <v>31</v>
      </c>
      <c r="J540" t="s">
        <v>18</v>
      </c>
      <c r="K540">
        <v>7.7</v>
      </c>
      <c r="L540" t="str">
        <f t="shared" si="86"/>
        <v>Sufficient Sleep</v>
      </c>
      <c r="M540">
        <v>7</v>
      </c>
      <c r="N540" t="str">
        <f t="shared" si="87"/>
        <v>Sever</v>
      </c>
      <c r="O540" t="s">
        <v>28</v>
      </c>
      <c r="P540">
        <v>6</v>
      </c>
      <c r="Q540" t="str">
        <f t="shared" si="93"/>
        <v>Medium</v>
      </c>
    </row>
    <row r="541" spans="1:17" hidden="1" x14ac:dyDescent="0.3">
      <c r="A541">
        <v>541</v>
      </c>
      <c r="B541">
        <v>19</v>
      </c>
      <c r="C541" t="str">
        <f t="shared" si="84"/>
        <v>Teenager</v>
      </c>
      <c r="D541" t="s">
        <v>13</v>
      </c>
      <c r="E541" t="s">
        <v>14</v>
      </c>
      <c r="F541" t="s">
        <v>48</v>
      </c>
      <c r="G541">
        <v>5.8</v>
      </c>
      <c r="H541" t="str">
        <f t="shared" si="85"/>
        <v>Moderate Use</v>
      </c>
      <c r="I541" t="s">
        <v>214</v>
      </c>
      <c r="J541" t="s">
        <v>18</v>
      </c>
      <c r="K541">
        <v>6.7</v>
      </c>
      <c r="L541" t="str">
        <f t="shared" si="86"/>
        <v>Severly Deficient Sleep</v>
      </c>
      <c r="M541">
        <v>6</v>
      </c>
      <c r="N541" t="str">
        <f t="shared" si="87"/>
        <v>Moderate</v>
      </c>
      <c r="O541" t="s">
        <v>28</v>
      </c>
      <c r="P541">
        <v>7</v>
      </c>
      <c r="Q541" t="str">
        <f t="shared" si="92"/>
        <v>High</v>
      </c>
    </row>
    <row r="542" spans="1:17" hidden="1" x14ac:dyDescent="0.3">
      <c r="A542">
        <v>542</v>
      </c>
      <c r="B542">
        <v>21</v>
      </c>
      <c r="C542" t="str">
        <f t="shared" si="84"/>
        <v>Young Adult</v>
      </c>
      <c r="D542" t="s">
        <v>21</v>
      </c>
      <c r="E542" t="s">
        <v>22</v>
      </c>
      <c r="F542" t="s">
        <v>66</v>
      </c>
      <c r="G542">
        <v>4.0999999999999996</v>
      </c>
      <c r="H542" t="str">
        <f t="shared" si="85"/>
        <v>Moderate Use</v>
      </c>
      <c r="I542" t="s">
        <v>222</v>
      </c>
      <c r="J542" t="s">
        <v>26</v>
      </c>
      <c r="K542">
        <v>8.1999999999999993</v>
      </c>
      <c r="L542" t="str">
        <f t="shared" si="86"/>
        <v>Sufficient Sleep</v>
      </c>
      <c r="M542">
        <v>7</v>
      </c>
      <c r="N542" t="str">
        <f t="shared" si="87"/>
        <v>Sever</v>
      </c>
      <c r="O542" t="s">
        <v>20</v>
      </c>
      <c r="Q542">
        <v>5</v>
      </c>
    </row>
    <row r="543" spans="1:17" hidden="1" x14ac:dyDescent="0.3">
      <c r="A543">
        <v>543</v>
      </c>
      <c r="B543">
        <v>20</v>
      </c>
      <c r="C543" t="str">
        <f t="shared" si="84"/>
        <v>Young Adult</v>
      </c>
      <c r="D543" t="s">
        <v>13</v>
      </c>
      <c r="E543" t="s">
        <v>14</v>
      </c>
      <c r="F543" t="s">
        <v>76</v>
      </c>
      <c r="G543">
        <v>3.4</v>
      </c>
      <c r="H543" t="str">
        <f t="shared" si="85"/>
        <v>Low Use</v>
      </c>
      <c r="I543" t="s">
        <v>17</v>
      </c>
      <c r="J543" t="s">
        <v>26</v>
      </c>
      <c r="K543">
        <v>8.6</v>
      </c>
      <c r="L543" t="str">
        <f t="shared" si="86"/>
        <v>Sufficient Sleep</v>
      </c>
      <c r="M543">
        <v>8</v>
      </c>
      <c r="N543" t="str">
        <f t="shared" si="87"/>
        <v>Sever</v>
      </c>
      <c r="O543" t="s">
        <v>28</v>
      </c>
      <c r="P543">
        <v>4</v>
      </c>
      <c r="Q543" t="str">
        <f t="shared" ref="Q543:Q551" si="94">IF(P543&gt;=7,"High",IF(P543&gt;=5,"Medium","Low"))</f>
        <v>Low</v>
      </c>
    </row>
    <row r="544" spans="1:17" hidden="1" x14ac:dyDescent="0.3">
      <c r="A544">
        <v>544</v>
      </c>
      <c r="B544">
        <v>22</v>
      </c>
      <c r="C544" t="str">
        <f t="shared" si="84"/>
        <v>Young Adult</v>
      </c>
      <c r="D544" t="s">
        <v>21</v>
      </c>
      <c r="E544" t="s">
        <v>22</v>
      </c>
      <c r="F544" t="s">
        <v>93</v>
      </c>
      <c r="G544">
        <v>4.3</v>
      </c>
      <c r="H544" t="str">
        <f t="shared" si="85"/>
        <v>Moderate Use</v>
      </c>
      <c r="I544" t="s">
        <v>17</v>
      </c>
      <c r="J544" t="s">
        <v>18</v>
      </c>
      <c r="K544">
        <v>7.9</v>
      </c>
      <c r="L544" t="str">
        <f t="shared" si="86"/>
        <v>Sufficient Sleep</v>
      </c>
      <c r="M544">
        <v>7</v>
      </c>
      <c r="N544" t="str">
        <f t="shared" si="87"/>
        <v>Sever</v>
      </c>
      <c r="O544" t="s">
        <v>20</v>
      </c>
      <c r="P544">
        <v>6</v>
      </c>
      <c r="Q544" t="str">
        <f t="shared" si="94"/>
        <v>Medium</v>
      </c>
    </row>
    <row r="545" spans="1:17" hidden="1" x14ac:dyDescent="0.3">
      <c r="A545">
        <v>545</v>
      </c>
      <c r="B545">
        <v>19</v>
      </c>
      <c r="C545" t="str">
        <f t="shared" si="84"/>
        <v>Teenager</v>
      </c>
      <c r="D545" t="s">
        <v>13</v>
      </c>
      <c r="E545" t="s">
        <v>14</v>
      </c>
      <c r="F545" t="s">
        <v>96</v>
      </c>
      <c r="G545">
        <v>5.5</v>
      </c>
      <c r="H545" t="str">
        <f t="shared" si="85"/>
        <v>Moderate Use</v>
      </c>
      <c r="I545" t="s">
        <v>31</v>
      </c>
      <c r="J545" t="s">
        <v>18</v>
      </c>
      <c r="K545">
        <v>6.6</v>
      </c>
      <c r="L545" t="str">
        <f t="shared" si="86"/>
        <v>Severly Deficient Sleep</v>
      </c>
      <c r="M545">
        <v>6</v>
      </c>
      <c r="N545" t="str">
        <f t="shared" si="87"/>
        <v>Moderate</v>
      </c>
      <c r="O545" t="s">
        <v>28</v>
      </c>
      <c r="P545">
        <v>7</v>
      </c>
      <c r="Q545" t="str">
        <f t="shared" si="94"/>
        <v>High</v>
      </c>
    </row>
    <row r="546" spans="1:17" hidden="1" x14ac:dyDescent="0.3">
      <c r="A546">
        <v>546</v>
      </c>
      <c r="B546">
        <v>21</v>
      </c>
      <c r="C546" t="str">
        <f t="shared" si="84"/>
        <v>Young Adult</v>
      </c>
      <c r="D546" t="s">
        <v>21</v>
      </c>
      <c r="E546" t="s">
        <v>22</v>
      </c>
      <c r="F546" t="s">
        <v>98</v>
      </c>
      <c r="G546">
        <v>5.9</v>
      </c>
      <c r="H546" t="str">
        <f t="shared" si="85"/>
        <v>Moderate Use</v>
      </c>
      <c r="I546" t="s">
        <v>214</v>
      </c>
      <c r="J546" t="s">
        <v>18</v>
      </c>
      <c r="K546">
        <v>6.4</v>
      </c>
      <c r="L546" t="str">
        <f t="shared" si="86"/>
        <v>Severly Deficient Sleep</v>
      </c>
      <c r="M546">
        <v>6</v>
      </c>
      <c r="N546" t="str">
        <f t="shared" si="87"/>
        <v>Moderate</v>
      </c>
      <c r="O546" t="s">
        <v>28</v>
      </c>
      <c r="P546">
        <v>7</v>
      </c>
      <c r="Q546" t="str">
        <f t="shared" si="94"/>
        <v>High</v>
      </c>
    </row>
    <row r="547" spans="1:17" hidden="1" x14ac:dyDescent="0.3">
      <c r="A547">
        <v>547</v>
      </c>
      <c r="B547">
        <v>20</v>
      </c>
      <c r="C547" t="str">
        <f t="shared" si="84"/>
        <v>Young Adult</v>
      </c>
      <c r="D547" t="s">
        <v>13</v>
      </c>
      <c r="E547" t="s">
        <v>14</v>
      </c>
      <c r="F547" t="s">
        <v>113</v>
      </c>
      <c r="G547">
        <v>6.9</v>
      </c>
      <c r="H547" t="str">
        <f t="shared" si="85"/>
        <v>Heavy Use</v>
      </c>
      <c r="I547" t="s">
        <v>17</v>
      </c>
      <c r="J547" t="s">
        <v>18</v>
      </c>
      <c r="K547">
        <v>6.1</v>
      </c>
      <c r="L547" t="str">
        <f t="shared" si="86"/>
        <v>Severly Deficient Sleep</v>
      </c>
      <c r="M547">
        <v>5</v>
      </c>
      <c r="N547" t="str">
        <f t="shared" si="87"/>
        <v>Moderate</v>
      </c>
      <c r="O547" t="s">
        <v>20</v>
      </c>
      <c r="P547">
        <v>8</v>
      </c>
      <c r="Q547" t="str">
        <f t="shared" si="94"/>
        <v>High</v>
      </c>
    </row>
    <row r="548" spans="1:17" hidden="1" x14ac:dyDescent="0.3">
      <c r="A548">
        <v>548</v>
      </c>
      <c r="B548">
        <v>22</v>
      </c>
      <c r="C548" t="str">
        <f t="shared" si="84"/>
        <v>Young Adult</v>
      </c>
      <c r="D548" t="s">
        <v>21</v>
      </c>
      <c r="E548" t="s">
        <v>22</v>
      </c>
      <c r="F548" t="s">
        <v>145</v>
      </c>
      <c r="G548">
        <v>3.8</v>
      </c>
      <c r="H548" t="str">
        <f t="shared" si="85"/>
        <v>Low Use</v>
      </c>
      <c r="I548" t="s">
        <v>41</v>
      </c>
      <c r="J548" t="s">
        <v>26</v>
      </c>
      <c r="K548">
        <v>8.3000000000000007</v>
      </c>
      <c r="L548" t="str">
        <f t="shared" si="86"/>
        <v>Sufficient Sleep</v>
      </c>
      <c r="M548">
        <v>7</v>
      </c>
      <c r="N548" t="str">
        <f t="shared" si="87"/>
        <v>Sever</v>
      </c>
      <c r="O548" t="s">
        <v>28</v>
      </c>
      <c r="P548">
        <v>5</v>
      </c>
      <c r="Q548" t="str">
        <f t="shared" si="94"/>
        <v>Medium</v>
      </c>
    </row>
    <row r="549" spans="1:17" x14ac:dyDescent="0.3">
      <c r="A549">
        <v>549</v>
      </c>
      <c r="B549">
        <v>19</v>
      </c>
      <c r="C549" t="str">
        <f t="shared" si="84"/>
        <v>Teenager</v>
      </c>
      <c r="D549" t="s">
        <v>13</v>
      </c>
      <c r="E549" t="s">
        <v>14</v>
      </c>
      <c r="F549" t="s">
        <v>23</v>
      </c>
      <c r="G549">
        <v>7.2</v>
      </c>
      <c r="H549" t="str">
        <f t="shared" si="85"/>
        <v>Heavy Use</v>
      </c>
      <c r="I549" t="s">
        <v>214</v>
      </c>
      <c r="J549" t="s">
        <v>18</v>
      </c>
      <c r="K549">
        <v>5.6</v>
      </c>
      <c r="L549" t="str">
        <f t="shared" si="86"/>
        <v>Severly Deficient Sleep</v>
      </c>
      <c r="M549">
        <v>5</v>
      </c>
      <c r="N549" t="str">
        <f t="shared" si="87"/>
        <v>Moderate</v>
      </c>
      <c r="O549" t="s">
        <v>20</v>
      </c>
      <c r="P549">
        <v>8</v>
      </c>
      <c r="Q549" t="str">
        <f t="shared" ref="Q549:Q550" si="95">IF(P549&gt;=7,"High",IF(P549&gt;=6,"Medium","Low"))</f>
        <v>High</v>
      </c>
    </row>
    <row r="550" spans="1:17" x14ac:dyDescent="0.3">
      <c r="A550">
        <v>550</v>
      </c>
      <c r="B550">
        <v>21</v>
      </c>
      <c r="C550" t="str">
        <f t="shared" si="84"/>
        <v>Young Adult</v>
      </c>
      <c r="D550" t="s">
        <v>21</v>
      </c>
      <c r="E550" t="s">
        <v>22</v>
      </c>
      <c r="F550" t="s">
        <v>39</v>
      </c>
      <c r="G550">
        <v>4.4000000000000004</v>
      </c>
      <c r="H550" t="str">
        <f t="shared" si="85"/>
        <v>Moderate Use</v>
      </c>
      <c r="I550" t="s">
        <v>17</v>
      </c>
      <c r="J550" t="s">
        <v>18</v>
      </c>
      <c r="K550">
        <v>7.8</v>
      </c>
      <c r="L550" t="str">
        <f t="shared" si="86"/>
        <v>Sufficient Sleep</v>
      </c>
      <c r="M550">
        <v>7</v>
      </c>
      <c r="N550" t="str">
        <f t="shared" si="87"/>
        <v>Sever</v>
      </c>
      <c r="O550" t="s">
        <v>28</v>
      </c>
      <c r="P550">
        <v>6</v>
      </c>
      <c r="Q550" t="str">
        <f t="shared" si="95"/>
        <v>Medium</v>
      </c>
    </row>
    <row r="551" spans="1:17" hidden="1" x14ac:dyDescent="0.3">
      <c r="A551">
        <v>551</v>
      </c>
      <c r="B551">
        <v>20</v>
      </c>
      <c r="C551" t="str">
        <f t="shared" si="84"/>
        <v>Young Adult</v>
      </c>
      <c r="D551" t="s">
        <v>13</v>
      </c>
      <c r="E551" t="s">
        <v>14</v>
      </c>
      <c r="F551" t="s">
        <v>48</v>
      </c>
      <c r="G551">
        <v>5.7</v>
      </c>
      <c r="H551" t="str">
        <f t="shared" si="85"/>
        <v>Moderate Use</v>
      </c>
      <c r="I551" t="s">
        <v>31</v>
      </c>
      <c r="J551" t="s">
        <v>18</v>
      </c>
      <c r="K551">
        <v>6.8</v>
      </c>
      <c r="L551" t="str">
        <f t="shared" si="86"/>
        <v>Severly Deficient Sleep</v>
      </c>
      <c r="M551">
        <v>6</v>
      </c>
      <c r="N551" t="str">
        <f t="shared" si="87"/>
        <v>Moderate</v>
      </c>
      <c r="O551" t="s">
        <v>28</v>
      </c>
      <c r="P551">
        <v>7</v>
      </c>
      <c r="Q551" t="str">
        <f t="shared" si="94"/>
        <v>High</v>
      </c>
    </row>
    <row r="552" spans="1:17" hidden="1" x14ac:dyDescent="0.3">
      <c r="A552">
        <v>552</v>
      </c>
      <c r="B552">
        <v>22</v>
      </c>
      <c r="C552" t="str">
        <f t="shared" si="84"/>
        <v>Young Adult</v>
      </c>
      <c r="D552" t="s">
        <v>21</v>
      </c>
      <c r="E552" t="s">
        <v>22</v>
      </c>
      <c r="F552" t="s">
        <v>66</v>
      </c>
      <c r="G552">
        <v>4</v>
      </c>
      <c r="H552" t="str">
        <f t="shared" si="85"/>
        <v>Moderate Use</v>
      </c>
      <c r="I552" t="s">
        <v>222</v>
      </c>
      <c r="J552" t="s">
        <v>26</v>
      </c>
      <c r="K552">
        <v>8.3000000000000007</v>
      </c>
      <c r="L552" t="str">
        <f t="shared" si="86"/>
        <v>Sufficient Sleep</v>
      </c>
      <c r="M552">
        <v>7</v>
      </c>
      <c r="N552" t="str">
        <f t="shared" si="87"/>
        <v>Sever</v>
      </c>
      <c r="O552" t="s">
        <v>20</v>
      </c>
      <c r="Q552">
        <v>5</v>
      </c>
    </row>
    <row r="553" spans="1:17" hidden="1" x14ac:dyDescent="0.3">
      <c r="A553">
        <v>553</v>
      </c>
      <c r="B553">
        <v>19</v>
      </c>
      <c r="C553" t="str">
        <f t="shared" si="84"/>
        <v>Teenager</v>
      </c>
      <c r="D553" t="s">
        <v>13</v>
      </c>
      <c r="E553" t="s">
        <v>14</v>
      </c>
      <c r="F553" t="s">
        <v>76</v>
      </c>
      <c r="G553">
        <v>3.3</v>
      </c>
      <c r="H553" t="str">
        <f t="shared" si="85"/>
        <v>Low Use</v>
      </c>
      <c r="I553" t="s">
        <v>17</v>
      </c>
      <c r="J553" t="s">
        <v>26</v>
      </c>
      <c r="K553">
        <v>8.6999999999999993</v>
      </c>
      <c r="L553" t="str">
        <f t="shared" si="86"/>
        <v>Sufficient Sleep</v>
      </c>
      <c r="M553">
        <v>8</v>
      </c>
      <c r="N553" t="str">
        <f t="shared" si="87"/>
        <v>Sever</v>
      </c>
      <c r="O553" t="s">
        <v>28</v>
      </c>
      <c r="P553">
        <v>4</v>
      </c>
      <c r="Q553" t="str">
        <f t="shared" ref="Q553:Q561" si="96">IF(P553&gt;=7,"High",IF(P553&gt;=5,"Medium","Low"))</f>
        <v>Low</v>
      </c>
    </row>
    <row r="554" spans="1:17" hidden="1" x14ac:dyDescent="0.3">
      <c r="A554">
        <v>554</v>
      </c>
      <c r="B554">
        <v>21</v>
      </c>
      <c r="C554" t="str">
        <f t="shared" si="84"/>
        <v>Young Adult</v>
      </c>
      <c r="D554" t="s">
        <v>21</v>
      </c>
      <c r="E554" t="s">
        <v>22</v>
      </c>
      <c r="F554" t="s">
        <v>93</v>
      </c>
      <c r="G554">
        <v>4.2</v>
      </c>
      <c r="H554" t="str">
        <f t="shared" si="85"/>
        <v>Moderate Use</v>
      </c>
      <c r="I554" t="s">
        <v>41</v>
      </c>
      <c r="J554" t="s">
        <v>18</v>
      </c>
      <c r="K554">
        <v>8</v>
      </c>
      <c r="L554" t="str">
        <f t="shared" si="86"/>
        <v>Sufficient Sleep</v>
      </c>
      <c r="M554">
        <v>7</v>
      </c>
      <c r="N554" t="str">
        <f t="shared" si="87"/>
        <v>Sever</v>
      </c>
      <c r="O554" t="s">
        <v>20</v>
      </c>
      <c r="P554">
        <v>6</v>
      </c>
      <c r="Q554" t="str">
        <f t="shared" si="96"/>
        <v>Medium</v>
      </c>
    </row>
    <row r="555" spans="1:17" hidden="1" x14ac:dyDescent="0.3">
      <c r="A555">
        <v>555</v>
      </c>
      <c r="B555">
        <v>20</v>
      </c>
      <c r="C555" t="str">
        <f t="shared" si="84"/>
        <v>Young Adult</v>
      </c>
      <c r="D555" t="s">
        <v>13</v>
      </c>
      <c r="E555" t="s">
        <v>14</v>
      </c>
      <c r="F555" t="s">
        <v>96</v>
      </c>
      <c r="G555">
        <v>5.6</v>
      </c>
      <c r="H555" t="str">
        <f t="shared" si="85"/>
        <v>Moderate Use</v>
      </c>
      <c r="I555" t="s">
        <v>31</v>
      </c>
      <c r="J555" t="s">
        <v>18</v>
      </c>
      <c r="K555">
        <v>6.5</v>
      </c>
      <c r="L555" t="str">
        <f t="shared" si="86"/>
        <v>Severly Deficient Sleep</v>
      </c>
      <c r="M555">
        <v>6</v>
      </c>
      <c r="N555" t="str">
        <f t="shared" si="87"/>
        <v>Moderate</v>
      </c>
      <c r="O555" t="s">
        <v>28</v>
      </c>
      <c r="P555">
        <v>7</v>
      </c>
      <c r="Q555" t="str">
        <f t="shared" si="96"/>
        <v>High</v>
      </c>
    </row>
    <row r="556" spans="1:17" hidden="1" x14ac:dyDescent="0.3">
      <c r="A556">
        <v>556</v>
      </c>
      <c r="B556">
        <v>22</v>
      </c>
      <c r="C556" t="str">
        <f t="shared" si="84"/>
        <v>Young Adult</v>
      </c>
      <c r="D556" t="s">
        <v>21</v>
      </c>
      <c r="E556" t="s">
        <v>22</v>
      </c>
      <c r="F556" t="s">
        <v>98</v>
      </c>
      <c r="G556">
        <v>6</v>
      </c>
      <c r="H556" t="str">
        <f t="shared" si="85"/>
        <v>Heavy Use</v>
      </c>
      <c r="I556" t="s">
        <v>214</v>
      </c>
      <c r="J556" t="s">
        <v>18</v>
      </c>
      <c r="K556">
        <v>6.3</v>
      </c>
      <c r="L556" t="str">
        <f t="shared" si="86"/>
        <v>Severly Deficient Sleep</v>
      </c>
      <c r="M556">
        <v>6</v>
      </c>
      <c r="N556" t="str">
        <f t="shared" si="87"/>
        <v>Moderate</v>
      </c>
      <c r="O556" t="s">
        <v>28</v>
      </c>
      <c r="P556">
        <v>7</v>
      </c>
      <c r="Q556" t="str">
        <f t="shared" si="96"/>
        <v>High</v>
      </c>
    </row>
    <row r="557" spans="1:17" hidden="1" x14ac:dyDescent="0.3">
      <c r="A557">
        <v>557</v>
      </c>
      <c r="B557">
        <v>19</v>
      </c>
      <c r="C557" t="str">
        <f t="shared" si="84"/>
        <v>Teenager</v>
      </c>
      <c r="D557" t="s">
        <v>13</v>
      </c>
      <c r="E557" t="s">
        <v>14</v>
      </c>
      <c r="F557" t="s">
        <v>113</v>
      </c>
      <c r="G557">
        <v>7</v>
      </c>
      <c r="H557" t="str">
        <f t="shared" si="85"/>
        <v>Heavy Use</v>
      </c>
      <c r="I557" t="s">
        <v>17</v>
      </c>
      <c r="J557" t="s">
        <v>18</v>
      </c>
      <c r="K557">
        <v>6</v>
      </c>
      <c r="L557" t="str">
        <f t="shared" si="86"/>
        <v>Severly Deficient Sleep</v>
      </c>
      <c r="M557">
        <v>5</v>
      </c>
      <c r="N557" t="str">
        <f t="shared" si="87"/>
        <v>Moderate</v>
      </c>
      <c r="O557" t="s">
        <v>20</v>
      </c>
      <c r="P557">
        <v>8</v>
      </c>
      <c r="Q557" t="str">
        <f t="shared" si="96"/>
        <v>High</v>
      </c>
    </row>
    <row r="558" spans="1:17" hidden="1" x14ac:dyDescent="0.3">
      <c r="A558">
        <v>558</v>
      </c>
      <c r="B558">
        <v>21</v>
      </c>
      <c r="C558" t="str">
        <f t="shared" si="84"/>
        <v>Young Adult</v>
      </c>
      <c r="D558" t="s">
        <v>21</v>
      </c>
      <c r="E558" t="s">
        <v>22</v>
      </c>
      <c r="F558" t="s">
        <v>145</v>
      </c>
      <c r="G558">
        <v>3.7</v>
      </c>
      <c r="H558" t="str">
        <f t="shared" si="85"/>
        <v>Low Use</v>
      </c>
      <c r="I558" t="s">
        <v>41</v>
      </c>
      <c r="J558" t="s">
        <v>26</v>
      </c>
      <c r="K558">
        <v>8.4</v>
      </c>
      <c r="L558" t="str">
        <f t="shared" si="86"/>
        <v>Sufficient Sleep</v>
      </c>
      <c r="M558">
        <v>7</v>
      </c>
      <c r="N558" t="str">
        <f t="shared" si="87"/>
        <v>Sever</v>
      </c>
      <c r="O558" t="s">
        <v>28</v>
      </c>
      <c r="P558">
        <v>5</v>
      </c>
      <c r="Q558" t="str">
        <f t="shared" si="96"/>
        <v>Medium</v>
      </c>
    </row>
    <row r="559" spans="1:17" x14ac:dyDescent="0.3">
      <c r="A559">
        <v>559</v>
      </c>
      <c r="B559">
        <v>20</v>
      </c>
      <c r="C559" t="str">
        <f t="shared" si="84"/>
        <v>Young Adult</v>
      </c>
      <c r="D559" t="s">
        <v>13</v>
      </c>
      <c r="E559" t="s">
        <v>14</v>
      </c>
      <c r="F559" t="s">
        <v>23</v>
      </c>
      <c r="G559">
        <v>7.3</v>
      </c>
      <c r="H559" t="str">
        <f t="shared" si="85"/>
        <v>Heavy Use</v>
      </c>
      <c r="I559" t="s">
        <v>214</v>
      </c>
      <c r="J559" t="s">
        <v>18</v>
      </c>
      <c r="K559">
        <v>5.5</v>
      </c>
      <c r="L559" t="str">
        <f t="shared" si="86"/>
        <v>Severly Deficient Sleep</v>
      </c>
      <c r="M559">
        <v>5</v>
      </c>
      <c r="N559" t="str">
        <f t="shared" si="87"/>
        <v>Moderate</v>
      </c>
      <c r="O559" t="s">
        <v>20</v>
      </c>
      <c r="P559">
        <v>8</v>
      </c>
      <c r="Q559" t="str">
        <f t="shared" ref="Q559:Q560" si="97">IF(P559&gt;=7,"High",IF(P559&gt;=6,"Medium","Low"))</f>
        <v>High</v>
      </c>
    </row>
    <row r="560" spans="1:17" x14ac:dyDescent="0.3">
      <c r="A560">
        <v>560</v>
      </c>
      <c r="B560">
        <v>22</v>
      </c>
      <c r="C560" t="str">
        <f t="shared" si="84"/>
        <v>Young Adult</v>
      </c>
      <c r="D560" t="s">
        <v>21</v>
      </c>
      <c r="E560" t="s">
        <v>22</v>
      </c>
      <c r="F560" t="s">
        <v>39</v>
      </c>
      <c r="G560">
        <v>4.3</v>
      </c>
      <c r="H560" t="str">
        <f t="shared" si="85"/>
        <v>Moderate Use</v>
      </c>
      <c r="I560" t="s">
        <v>31</v>
      </c>
      <c r="J560" t="s">
        <v>18</v>
      </c>
      <c r="K560">
        <v>7.9</v>
      </c>
      <c r="L560" t="str">
        <f t="shared" si="86"/>
        <v>Sufficient Sleep</v>
      </c>
      <c r="M560">
        <v>7</v>
      </c>
      <c r="N560" t="str">
        <f t="shared" si="87"/>
        <v>Sever</v>
      </c>
      <c r="O560" t="s">
        <v>28</v>
      </c>
      <c r="P560">
        <v>6</v>
      </c>
      <c r="Q560" t="str">
        <f t="shared" si="97"/>
        <v>Medium</v>
      </c>
    </row>
    <row r="561" spans="1:17" hidden="1" x14ac:dyDescent="0.3">
      <c r="A561">
        <v>561</v>
      </c>
      <c r="B561">
        <v>19</v>
      </c>
      <c r="C561" t="str">
        <f t="shared" si="84"/>
        <v>Teenager</v>
      </c>
      <c r="D561" t="s">
        <v>13</v>
      </c>
      <c r="E561" t="s">
        <v>14</v>
      </c>
      <c r="F561" t="s">
        <v>48</v>
      </c>
      <c r="G561">
        <v>5.6</v>
      </c>
      <c r="H561" t="str">
        <f t="shared" si="85"/>
        <v>Moderate Use</v>
      </c>
      <c r="I561" t="s">
        <v>214</v>
      </c>
      <c r="J561" t="s">
        <v>18</v>
      </c>
      <c r="K561">
        <v>6.9</v>
      </c>
      <c r="L561" t="str">
        <f t="shared" si="86"/>
        <v>Severly Deficient Sleep</v>
      </c>
      <c r="M561">
        <v>6</v>
      </c>
      <c r="N561" t="str">
        <f t="shared" si="87"/>
        <v>Moderate</v>
      </c>
      <c r="O561" t="s">
        <v>28</v>
      </c>
      <c r="P561">
        <v>7</v>
      </c>
      <c r="Q561" t="str">
        <f t="shared" si="96"/>
        <v>High</v>
      </c>
    </row>
    <row r="562" spans="1:17" hidden="1" x14ac:dyDescent="0.3">
      <c r="A562">
        <v>562</v>
      </c>
      <c r="B562">
        <v>21</v>
      </c>
      <c r="C562" t="str">
        <f t="shared" si="84"/>
        <v>Young Adult</v>
      </c>
      <c r="D562" t="s">
        <v>21</v>
      </c>
      <c r="E562" t="s">
        <v>22</v>
      </c>
      <c r="F562" t="s">
        <v>66</v>
      </c>
      <c r="G562">
        <v>3.9</v>
      </c>
      <c r="H562" t="str">
        <f t="shared" si="85"/>
        <v>Low Use</v>
      </c>
      <c r="I562" t="s">
        <v>222</v>
      </c>
      <c r="J562" t="s">
        <v>26</v>
      </c>
      <c r="K562">
        <v>8.4</v>
      </c>
      <c r="L562" t="str">
        <f t="shared" si="86"/>
        <v>Sufficient Sleep</v>
      </c>
      <c r="M562">
        <v>7</v>
      </c>
      <c r="N562" t="str">
        <f t="shared" si="87"/>
        <v>Sever</v>
      </c>
      <c r="O562" t="s">
        <v>20</v>
      </c>
      <c r="Q562">
        <v>5</v>
      </c>
    </row>
    <row r="563" spans="1:17" hidden="1" x14ac:dyDescent="0.3">
      <c r="A563">
        <v>563</v>
      </c>
      <c r="B563">
        <v>20</v>
      </c>
      <c r="C563" t="str">
        <f t="shared" si="84"/>
        <v>Young Adult</v>
      </c>
      <c r="D563" t="s">
        <v>13</v>
      </c>
      <c r="E563" t="s">
        <v>14</v>
      </c>
      <c r="F563" t="s">
        <v>76</v>
      </c>
      <c r="G563">
        <v>3.2</v>
      </c>
      <c r="H563" t="str">
        <f t="shared" si="85"/>
        <v>Low Use</v>
      </c>
      <c r="I563" t="s">
        <v>17</v>
      </c>
      <c r="J563" t="s">
        <v>26</v>
      </c>
      <c r="K563">
        <v>8.8000000000000007</v>
      </c>
      <c r="L563" t="str">
        <f t="shared" si="86"/>
        <v>Sufficient Sleep</v>
      </c>
      <c r="M563">
        <v>8</v>
      </c>
      <c r="N563" t="str">
        <f t="shared" si="87"/>
        <v>Sever</v>
      </c>
      <c r="O563" t="s">
        <v>28</v>
      </c>
      <c r="P563">
        <v>4</v>
      </c>
      <c r="Q563" t="str">
        <f t="shared" ref="Q563:Q583" si="98">IF(P563&gt;=7,"High",IF(P563&gt;=5,"Medium","Low"))</f>
        <v>Low</v>
      </c>
    </row>
    <row r="564" spans="1:17" hidden="1" x14ac:dyDescent="0.3">
      <c r="A564">
        <v>564</v>
      </c>
      <c r="B564">
        <v>22</v>
      </c>
      <c r="C564" t="str">
        <f t="shared" si="84"/>
        <v>Young Adult</v>
      </c>
      <c r="D564" t="s">
        <v>21</v>
      </c>
      <c r="E564" t="s">
        <v>22</v>
      </c>
      <c r="F564" t="s">
        <v>93</v>
      </c>
      <c r="G564">
        <v>4.0999999999999996</v>
      </c>
      <c r="H564" t="str">
        <f t="shared" si="85"/>
        <v>Moderate Use</v>
      </c>
      <c r="I564" t="s">
        <v>17</v>
      </c>
      <c r="J564" t="s">
        <v>18</v>
      </c>
      <c r="K564">
        <v>8.1</v>
      </c>
      <c r="L564" t="str">
        <f t="shared" si="86"/>
        <v>Sufficient Sleep</v>
      </c>
      <c r="M564">
        <v>7</v>
      </c>
      <c r="N564" t="str">
        <f t="shared" si="87"/>
        <v>Sever</v>
      </c>
      <c r="O564" t="s">
        <v>20</v>
      </c>
      <c r="P564">
        <v>6</v>
      </c>
      <c r="Q564" t="str">
        <f t="shared" si="98"/>
        <v>Medium</v>
      </c>
    </row>
    <row r="565" spans="1:17" hidden="1" x14ac:dyDescent="0.3">
      <c r="A565">
        <v>565</v>
      </c>
      <c r="B565">
        <v>19</v>
      </c>
      <c r="C565" t="str">
        <f t="shared" si="84"/>
        <v>Teenager</v>
      </c>
      <c r="D565" t="s">
        <v>13</v>
      </c>
      <c r="E565" t="s">
        <v>14</v>
      </c>
      <c r="F565" t="s">
        <v>96</v>
      </c>
      <c r="G565">
        <v>5.7</v>
      </c>
      <c r="H565" t="str">
        <f t="shared" si="85"/>
        <v>Moderate Use</v>
      </c>
      <c r="I565" t="s">
        <v>31</v>
      </c>
      <c r="J565" t="s">
        <v>18</v>
      </c>
      <c r="K565">
        <v>6.4</v>
      </c>
      <c r="L565" t="str">
        <f t="shared" si="86"/>
        <v>Severly Deficient Sleep</v>
      </c>
      <c r="M565">
        <v>6</v>
      </c>
      <c r="N565" t="str">
        <f t="shared" si="87"/>
        <v>Moderate</v>
      </c>
      <c r="O565" t="s">
        <v>28</v>
      </c>
      <c r="P565">
        <v>7</v>
      </c>
      <c r="Q565" t="str">
        <f t="shared" si="98"/>
        <v>High</v>
      </c>
    </row>
    <row r="566" spans="1:17" hidden="1" x14ac:dyDescent="0.3">
      <c r="A566">
        <v>566</v>
      </c>
      <c r="B566">
        <v>21</v>
      </c>
      <c r="C566" t="str">
        <f t="shared" si="84"/>
        <v>Young Adult</v>
      </c>
      <c r="D566" t="s">
        <v>21</v>
      </c>
      <c r="E566" t="s">
        <v>22</v>
      </c>
      <c r="F566" t="s">
        <v>98</v>
      </c>
      <c r="G566">
        <v>6.1</v>
      </c>
      <c r="H566" t="str">
        <f t="shared" si="85"/>
        <v>Heavy Use</v>
      </c>
      <c r="I566" t="s">
        <v>214</v>
      </c>
      <c r="J566" t="s">
        <v>18</v>
      </c>
      <c r="K566">
        <v>6.2</v>
      </c>
      <c r="L566" t="str">
        <f t="shared" si="86"/>
        <v>Severly Deficient Sleep</v>
      </c>
      <c r="M566">
        <v>6</v>
      </c>
      <c r="N566" t="str">
        <f t="shared" si="87"/>
        <v>Moderate</v>
      </c>
      <c r="O566" t="s">
        <v>28</v>
      </c>
      <c r="P566">
        <v>7</v>
      </c>
      <c r="Q566" t="str">
        <f t="shared" si="98"/>
        <v>High</v>
      </c>
    </row>
    <row r="567" spans="1:17" hidden="1" x14ac:dyDescent="0.3">
      <c r="A567">
        <v>567</v>
      </c>
      <c r="B567">
        <v>20</v>
      </c>
      <c r="C567" t="str">
        <f t="shared" si="84"/>
        <v>Young Adult</v>
      </c>
      <c r="D567" t="s">
        <v>13</v>
      </c>
      <c r="E567" t="s">
        <v>14</v>
      </c>
      <c r="F567" t="s">
        <v>113</v>
      </c>
      <c r="G567">
        <v>7.1</v>
      </c>
      <c r="H567" t="str">
        <f t="shared" si="85"/>
        <v>Heavy Use</v>
      </c>
      <c r="I567" t="s">
        <v>17</v>
      </c>
      <c r="J567" t="s">
        <v>18</v>
      </c>
      <c r="K567">
        <v>5.9</v>
      </c>
      <c r="L567" t="str">
        <f t="shared" si="86"/>
        <v>Severly Deficient Sleep</v>
      </c>
      <c r="M567">
        <v>5</v>
      </c>
      <c r="N567" t="str">
        <f t="shared" si="87"/>
        <v>Moderate</v>
      </c>
      <c r="O567" t="s">
        <v>20</v>
      </c>
      <c r="P567">
        <v>8</v>
      </c>
      <c r="Q567" t="str">
        <f t="shared" si="98"/>
        <v>High</v>
      </c>
    </row>
    <row r="568" spans="1:17" hidden="1" x14ac:dyDescent="0.3">
      <c r="A568">
        <v>568</v>
      </c>
      <c r="B568">
        <v>22</v>
      </c>
      <c r="C568" t="str">
        <f t="shared" si="84"/>
        <v>Young Adult</v>
      </c>
      <c r="D568" t="s">
        <v>21</v>
      </c>
      <c r="E568" t="s">
        <v>22</v>
      </c>
      <c r="F568" t="s">
        <v>145</v>
      </c>
      <c r="G568">
        <v>3.6</v>
      </c>
      <c r="H568" t="str">
        <f t="shared" si="85"/>
        <v>Low Use</v>
      </c>
      <c r="I568" t="s">
        <v>41</v>
      </c>
      <c r="J568" t="s">
        <v>26</v>
      </c>
      <c r="K568">
        <v>8.5</v>
      </c>
      <c r="L568" t="str">
        <f t="shared" si="86"/>
        <v>Sufficient Sleep</v>
      </c>
      <c r="M568">
        <v>7</v>
      </c>
      <c r="N568" t="str">
        <f t="shared" si="87"/>
        <v>Sever</v>
      </c>
      <c r="O568" t="s">
        <v>28</v>
      </c>
      <c r="P568">
        <v>5</v>
      </c>
      <c r="Q568" t="str">
        <f t="shared" si="98"/>
        <v>Medium</v>
      </c>
    </row>
    <row r="569" spans="1:17" x14ac:dyDescent="0.3">
      <c r="A569">
        <v>569</v>
      </c>
      <c r="B569">
        <v>19</v>
      </c>
      <c r="C569" t="str">
        <f t="shared" si="84"/>
        <v>Teenager</v>
      </c>
      <c r="D569" t="s">
        <v>13</v>
      </c>
      <c r="E569" t="s">
        <v>14</v>
      </c>
      <c r="F569" t="s">
        <v>23</v>
      </c>
      <c r="G569">
        <v>7.4</v>
      </c>
      <c r="H569" t="str">
        <f t="shared" si="85"/>
        <v>Heavy Use</v>
      </c>
      <c r="I569" t="s">
        <v>214</v>
      </c>
      <c r="J569" t="s">
        <v>18</v>
      </c>
      <c r="K569">
        <v>5.4</v>
      </c>
      <c r="L569" t="str">
        <f t="shared" si="86"/>
        <v>Severly Deficient Sleep</v>
      </c>
      <c r="M569">
        <v>5</v>
      </c>
      <c r="N569" t="str">
        <f t="shared" si="87"/>
        <v>Moderate</v>
      </c>
      <c r="O569" t="s">
        <v>20</v>
      </c>
      <c r="P569">
        <v>8</v>
      </c>
      <c r="Q569" t="str">
        <f t="shared" ref="Q569:Q571" si="99">IF(P569&gt;=7,"High",IF(P569&gt;=6,"Medium","Low"))</f>
        <v>High</v>
      </c>
    </row>
    <row r="570" spans="1:17" x14ac:dyDescent="0.3">
      <c r="A570">
        <v>570</v>
      </c>
      <c r="B570">
        <v>21</v>
      </c>
      <c r="C570" t="str">
        <f t="shared" si="84"/>
        <v>Young Adult</v>
      </c>
      <c r="D570" t="s">
        <v>21</v>
      </c>
      <c r="E570" t="s">
        <v>22</v>
      </c>
      <c r="F570" t="s">
        <v>39</v>
      </c>
      <c r="G570">
        <v>4.2</v>
      </c>
      <c r="H570" t="str">
        <f t="shared" si="85"/>
        <v>Moderate Use</v>
      </c>
      <c r="I570" t="s">
        <v>17</v>
      </c>
      <c r="J570" t="s">
        <v>18</v>
      </c>
      <c r="K570">
        <v>8</v>
      </c>
      <c r="L570" t="str">
        <f t="shared" si="86"/>
        <v>Sufficient Sleep</v>
      </c>
      <c r="M570">
        <v>7</v>
      </c>
      <c r="N570" t="str">
        <f t="shared" si="87"/>
        <v>Sever</v>
      </c>
      <c r="O570" t="s">
        <v>28</v>
      </c>
      <c r="P570">
        <v>6</v>
      </c>
      <c r="Q570" t="str">
        <f t="shared" si="99"/>
        <v>Medium</v>
      </c>
    </row>
    <row r="571" spans="1:17" x14ac:dyDescent="0.3">
      <c r="A571">
        <v>571</v>
      </c>
      <c r="B571">
        <v>20</v>
      </c>
      <c r="C571" t="str">
        <f t="shared" si="84"/>
        <v>Young Adult</v>
      </c>
      <c r="D571" t="s">
        <v>13</v>
      </c>
      <c r="E571" t="s">
        <v>14</v>
      </c>
      <c r="F571" t="s">
        <v>58</v>
      </c>
      <c r="G571">
        <v>6.1</v>
      </c>
      <c r="H571" t="str">
        <f t="shared" si="85"/>
        <v>Heavy Use</v>
      </c>
      <c r="I571" t="s">
        <v>17</v>
      </c>
      <c r="J571" t="s">
        <v>18</v>
      </c>
      <c r="K571">
        <v>7.2</v>
      </c>
      <c r="L571" t="str">
        <f t="shared" si="86"/>
        <v>Sufficient Sleep</v>
      </c>
      <c r="M571">
        <v>5</v>
      </c>
      <c r="N571" t="str">
        <f t="shared" si="87"/>
        <v>Moderate</v>
      </c>
      <c r="O571" t="s">
        <v>28</v>
      </c>
      <c r="P571">
        <v>7</v>
      </c>
      <c r="Q571" t="str">
        <f t="shared" si="99"/>
        <v>High</v>
      </c>
    </row>
    <row r="572" spans="1:17" hidden="1" x14ac:dyDescent="0.3">
      <c r="A572">
        <v>572</v>
      </c>
      <c r="B572">
        <v>23</v>
      </c>
      <c r="C572" t="str">
        <f t="shared" si="84"/>
        <v>Young Adult</v>
      </c>
      <c r="D572" t="s">
        <v>21</v>
      </c>
      <c r="E572" t="s">
        <v>22</v>
      </c>
      <c r="F572" t="s">
        <v>73</v>
      </c>
      <c r="G572">
        <v>3.8</v>
      </c>
      <c r="H572" t="str">
        <f t="shared" si="85"/>
        <v>Low Use</v>
      </c>
      <c r="I572" t="s">
        <v>25</v>
      </c>
      <c r="J572" t="s">
        <v>26</v>
      </c>
      <c r="K572">
        <v>7.8</v>
      </c>
      <c r="L572" t="str">
        <f t="shared" si="86"/>
        <v>Sufficient Sleep</v>
      </c>
      <c r="M572">
        <v>8</v>
      </c>
      <c r="N572" t="str">
        <f t="shared" si="87"/>
        <v>Sever</v>
      </c>
      <c r="O572" t="s">
        <v>20</v>
      </c>
      <c r="P572">
        <v>4</v>
      </c>
      <c r="Q572" t="str">
        <f t="shared" si="98"/>
        <v>Low</v>
      </c>
    </row>
    <row r="573" spans="1:17" hidden="1" x14ac:dyDescent="0.3">
      <c r="A573">
        <v>573</v>
      </c>
      <c r="B573">
        <v>19</v>
      </c>
      <c r="C573" t="str">
        <f t="shared" si="84"/>
        <v>Teenager</v>
      </c>
      <c r="D573" t="s">
        <v>13</v>
      </c>
      <c r="E573" t="s">
        <v>14</v>
      </c>
      <c r="F573" t="s">
        <v>91</v>
      </c>
      <c r="G573">
        <v>5.5</v>
      </c>
      <c r="H573" t="str">
        <f t="shared" si="85"/>
        <v>Moderate Use</v>
      </c>
      <c r="I573" t="s">
        <v>31</v>
      </c>
      <c r="J573" t="s">
        <v>18</v>
      </c>
      <c r="K573">
        <v>6.8</v>
      </c>
      <c r="L573" t="str">
        <f t="shared" si="86"/>
        <v>Severly Deficient Sleep</v>
      </c>
      <c r="M573">
        <v>6</v>
      </c>
      <c r="N573" t="str">
        <f t="shared" si="87"/>
        <v>Moderate</v>
      </c>
      <c r="O573" t="s">
        <v>28</v>
      </c>
      <c r="P573">
        <v>8</v>
      </c>
      <c r="Q573" t="str">
        <f t="shared" si="98"/>
        <v>High</v>
      </c>
    </row>
    <row r="574" spans="1:17" x14ac:dyDescent="0.3">
      <c r="A574">
        <v>574</v>
      </c>
      <c r="B574">
        <v>22</v>
      </c>
      <c r="C574" t="str">
        <f t="shared" si="84"/>
        <v>Young Adult</v>
      </c>
      <c r="D574" t="s">
        <v>21</v>
      </c>
      <c r="E574" t="s">
        <v>22</v>
      </c>
      <c r="F574" t="s">
        <v>23</v>
      </c>
      <c r="G574">
        <v>7.2</v>
      </c>
      <c r="H574" t="str">
        <f t="shared" si="85"/>
        <v>Heavy Use</v>
      </c>
      <c r="I574" t="s">
        <v>41</v>
      </c>
      <c r="J574" t="s">
        <v>18</v>
      </c>
      <c r="K574">
        <v>5.9</v>
      </c>
      <c r="L574" t="str">
        <f t="shared" si="86"/>
        <v>Severly Deficient Sleep</v>
      </c>
      <c r="M574">
        <v>4</v>
      </c>
      <c r="N574" t="str">
        <f t="shared" si="87"/>
        <v>Mild</v>
      </c>
      <c r="O574" t="s">
        <v>28</v>
      </c>
      <c r="P574">
        <v>9</v>
      </c>
      <c r="Q574" t="str">
        <f>IF(P574&gt;=7,"High",IF(P574&gt;=6,"Medium","Low"))</f>
        <v>High</v>
      </c>
    </row>
    <row r="575" spans="1:17" hidden="1" x14ac:dyDescent="0.3">
      <c r="A575">
        <v>575</v>
      </c>
      <c r="B575">
        <v>21</v>
      </c>
      <c r="C575" t="str">
        <f t="shared" si="84"/>
        <v>Young Adult</v>
      </c>
      <c r="D575" t="s">
        <v>13</v>
      </c>
      <c r="E575" t="s">
        <v>14</v>
      </c>
      <c r="F575" t="s">
        <v>81</v>
      </c>
      <c r="G575">
        <v>4.2</v>
      </c>
      <c r="H575" t="str">
        <f t="shared" si="85"/>
        <v>Moderate Use</v>
      </c>
      <c r="I575" t="s">
        <v>17</v>
      </c>
      <c r="J575" t="s">
        <v>26</v>
      </c>
      <c r="K575">
        <v>7.5</v>
      </c>
      <c r="L575" t="str">
        <f t="shared" si="86"/>
        <v>Sufficient Sleep</v>
      </c>
      <c r="M575">
        <v>7</v>
      </c>
      <c r="N575" t="str">
        <f t="shared" si="87"/>
        <v>Sever</v>
      </c>
      <c r="O575" t="s">
        <v>20</v>
      </c>
      <c r="P575">
        <v>5</v>
      </c>
      <c r="Q575" t="str">
        <f t="shared" si="98"/>
        <v>Medium</v>
      </c>
    </row>
    <row r="576" spans="1:17" hidden="1" x14ac:dyDescent="0.3">
      <c r="A576">
        <v>576</v>
      </c>
      <c r="B576">
        <v>24</v>
      </c>
      <c r="C576" t="str">
        <f t="shared" si="84"/>
        <v>Young Adult</v>
      </c>
      <c r="D576" t="s">
        <v>21</v>
      </c>
      <c r="E576" t="s">
        <v>22</v>
      </c>
      <c r="F576" t="s">
        <v>109</v>
      </c>
      <c r="G576">
        <v>6.8</v>
      </c>
      <c r="H576" t="str">
        <f t="shared" si="85"/>
        <v>Heavy Use</v>
      </c>
      <c r="I576" t="s">
        <v>31</v>
      </c>
      <c r="J576" t="s">
        <v>18</v>
      </c>
      <c r="K576">
        <v>6.2</v>
      </c>
      <c r="L576" t="str">
        <f t="shared" si="86"/>
        <v>Severly Deficient Sleep</v>
      </c>
      <c r="M576">
        <v>5</v>
      </c>
      <c r="N576" t="str">
        <f t="shared" si="87"/>
        <v>Moderate</v>
      </c>
      <c r="O576" t="s">
        <v>28</v>
      </c>
      <c r="P576">
        <v>8</v>
      </c>
      <c r="Q576" t="str">
        <f t="shared" si="98"/>
        <v>High</v>
      </c>
    </row>
    <row r="577" spans="1:17" x14ac:dyDescent="0.3">
      <c r="A577">
        <v>577</v>
      </c>
      <c r="B577">
        <v>20</v>
      </c>
      <c r="C577" t="str">
        <f t="shared" ref="C577:C640" si="100">IF(B577&gt;=20,"Young Adult","Teenager")</f>
        <v>Young Adult</v>
      </c>
      <c r="D577" t="s">
        <v>13</v>
      </c>
      <c r="E577" t="s">
        <v>14</v>
      </c>
      <c r="F577" t="s">
        <v>29</v>
      </c>
      <c r="G577">
        <v>5.9</v>
      </c>
      <c r="H577" t="str">
        <f t="shared" ref="H577:H640" si="101">IF(G577&gt;=6,"Heavy Use",IF(G577&gt;=4,"Moderate Use","Low Use"))</f>
        <v>Moderate Use</v>
      </c>
      <c r="I577" t="s">
        <v>17</v>
      </c>
      <c r="J577" t="s">
        <v>18</v>
      </c>
      <c r="K577">
        <v>6.7</v>
      </c>
      <c r="L577" t="str">
        <f t="shared" ref="L577:L640" si="102">IF(K577&gt;=9,"Excessive Sleep",IF(K577&gt;=7,"Sufficient Sleep","Severly Deficient Sleep"))</f>
        <v>Severly Deficient Sleep</v>
      </c>
      <c r="M577">
        <v>6</v>
      </c>
      <c r="N577" t="str">
        <f t="shared" ref="N577:N640" si="103">IF(M577&gt;=7,"Sever",IF(M577&lt;=4,"Mild","Moderate"))</f>
        <v>Moderate</v>
      </c>
      <c r="O577" t="s">
        <v>20</v>
      </c>
      <c r="P577">
        <v>7</v>
      </c>
      <c r="Q577" t="str">
        <f>IF(P577&gt;=7,"High",IF(P577&gt;=6,"Medium","Low"))</f>
        <v>High</v>
      </c>
    </row>
    <row r="578" spans="1:17" hidden="1" x14ac:dyDescent="0.3">
      <c r="A578">
        <v>578</v>
      </c>
      <c r="B578">
        <v>22</v>
      </c>
      <c r="C578" t="str">
        <f t="shared" si="100"/>
        <v>Young Adult</v>
      </c>
      <c r="D578" t="s">
        <v>21</v>
      </c>
      <c r="E578" t="s">
        <v>22</v>
      </c>
      <c r="F578" t="s">
        <v>62</v>
      </c>
      <c r="G578">
        <v>6.5</v>
      </c>
      <c r="H578" t="str">
        <f t="shared" si="101"/>
        <v>Heavy Use</v>
      </c>
      <c r="I578" t="s">
        <v>41</v>
      </c>
      <c r="J578" t="s">
        <v>18</v>
      </c>
      <c r="K578">
        <v>6.1</v>
      </c>
      <c r="L578" t="str">
        <f t="shared" si="102"/>
        <v>Severly Deficient Sleep</v>
      </c>
      <c r="M578">
        <v>5</v>
      </c>
      <c r="N578" t="str">
        <f t="shared" si="103"/>
        <v>Moderate</v>
      </c>
      <c r="O578" t="s">
        <v>28</v>
      </c>
      <c r="P578">
        <v>8</v>
      </c>
      <c r="Q578" t="str">
        <f t="shared" si="98"/>
        <v>High</v>
      </c>
    </row>
    <row r="579" spans="1:17" x14ac:dyDescent="0.3">
      <c r="A579">
        <v>579</v>
      </c>
      <c r="B579">
        <v>19</v>
      </c>
      <c r="C579" t="str">
        <f t="shared" si="100"/>
        <v>Teenager</v>
      </c>
      <c r="D579" t="s">
        <v>13</v>
      </c>
      <c r="E579" t="s">
        <v>14</v>
      </c>
      <c r="F579" t="s">
        <v>55</v>
      </c>
      <c r="G579">
        <v>4.7</v>
      </c>
      <c r="H579" t="str">
        <f t="shared" si="101"/>
        <v>Moderate Use</v>
      </c>
      <c r="I579" t="s">
        <v>25</v>
      </c>
      <c r="J579" t="s">
        <v>26</v>
      </c>
      <c r="K579">
        <v>7.4</v>
      </c>
      <c r="L579" t="str">
        <f t="shared" si="102"/>
        <v>Sufficient Sleep</v>
      </c>
      <c r="M579">
        <v>7</v>
      </c>
      <c r="N579" t="str">
        <f t="shared" si="103"/>
        <v>Sever</v>
      </c>
      <c r="O579" t="s">
        <v>28</v>
      </c>
      <c r="P579">
        <v>5</v>
      </c>
      <c r="Q579" t="str">
        <f t="shared" ref="Q579:Q580" si="104">IF(P579&gt;=7,"High",IF(P579&gt;=6,"Medium","Low"))</f>
        <v>Low</v>
      </c>
    </row>
    <row r="580" spans="1:17" x14ac:dyDescent="0.3">
      <c r="A580">
        <v>580</v>
      </c>
      <c r="B580">
        <v>23</v>
      </c>
      <c r="C580" t="str">
        <f t="shared" si="100"/>
        <v>Young Adult</v>
      </c>
      <c r="D580" t="s">
        <v>21</v>
      </c>
      <c r="E580" t="s">
        <v>22</v>
      </c>
      <c r="F580" t="s">
        <v>39</v>
      </c>
      <c r="G580">
        <v>5.2</v>
      </c>
      <c r="H580" t="str">
        <f t="shared" si="101"/>
        <v>Moderate Use</v>
      </c>
      <c r="I580" t="s">
        <v>17</v>
      </c>
      <c r="J580" t="s">
        <v>18</v>
      </c>
      <c r="K580">
        <v>7</v>
      </c>
      <c r="L580" t="str">
        <f t="shared" si="102"/>
        <v>Sufficient Sleep</v>
      </c>
      <c r="M580">
        <v>6</v>
      </c>
      <c r="N580" t="str">
        <f t="shared" si="103"/>
        <v>Moderate</v>
      </c>
      <c r="O580" t="s">
        <v>20</v>
      </c>
      <c r="P580">
        <v>6</v>
      </c>
      <c r="Q580" t="str">
        <f t="shared" si="104"/>
        <v>Medium</v>
      </c>
    </row>
    <row r="581" spans="1:17" hidden="1" x14ac:dyDescent="0.3">
      <c r="A581">
        <v>581</v>
      </c>
      <c r="B581">
        <v>21</v>
      </c>
      <c r="C581" t="str">
        <f t="shared" si="100"/>
        <v>Young Adult</v>
      </c>
      <c r="D581" t="s">
        <v>13</v>
      </c>
      <c r="E581" t="s">
        <v>14</v>
      </c>
      <c r="F581" t="s">
        <v>35</v>
      </c>
      <c r="G581">
        <v>6.3</v>
      </c>
      <c r="H581" t="str">
        <f t="shared" si="101"/>
        <v>Heavy Use</v>
      </c>
      <c r="I581" t="s">
        <v>31</v>
      </c>
      <c r="J581" t="s">
        <v>18</v>
      </c>
      <c r="K581">
        <v>6.4</v>
      </c>
      <c r="L581" t="str">
        <f t="shared" si="102"/>
        <v>Severly Deficient Sleep</v>
      </c>
      <c r="M581">
        <v>5</v>
      </c>
      <c r="N581" t="str">
        <f t="shared" si="103"/>
        <v>Moderate</v>
      </c>
      <c r="O581" t="s">
        <v>28</v>
      </c>
      <c r="P581">
        <v>8</v>
      </c>
      <c r="Q581" t="str">
        <f t="shared" si="98"/>
        <v>High</v>
      </c>
    </row>
    <row r="582" spans="1:17" hidden="1" x14ac:dyDescent="0.3">
      <c r="A582">
        <v>582</v>
      </c>
      <c r="B582">
        <v>24</v>
      </c>
      <c r="C582" t="str">
        <f t="shared" si="100"/>
        <v>Young Adult</v>
      </c>
      <c r="D582" t="s">
        <v>21</v>
      </c>
      <c r="E582" t="s">
        <v>22</v>
      </c>
      <c r="F582" t="s">
        <v>60</v>
      </c>
      <c r="G582">
        <v>4.9000000000000004</v>
      </c>
      <c r="H582" t="str">
        <f t="shared" si="101"/>
        <v>Moderate Use</v>
      </c>
      <c r="I582" t="s">
        <v>41</v>
      </c>
      <c r="J582" t="s">
        <v>26</v>
      </c>
      <c r="K582">
        <v>7.3</v>
      </c>
      <c r="L582" t="str">
        <f t="shared" si="102"/>
        <v>Sufficient Sleep</v>
      </c>
      <c r="M582">
        <v>7</v>
      </c>
      <c r="N582" t="str">
        <f t="shared" si="103"/>
        <v>Sever</v>
      </c>
      <c r="O582" t="s">
        <v>20</v>
      </c>
      <c r="P582">
        <v>5</v>
      </c>
      <c r="Q582" t="str">
        <f t="shared" si="98"/>
        <v>Medium</v>
      </c>
    </row>
    <row r="583" spans="1:17" hidden="1" x14ac:dyDescent="0.3">
      <c r="A583">
        <v>583</v>
      </c>
      <c r="B583">
        <v>20</v>
      </c>
      <c r="C583" t="str">
        <f t="shared" si="100"/>
        <v>Young Adult</v>
      </c>
      <c r="D583" t="s">
        <v>13</v>
      </c>
      <c r="E583" t="s">
        <v>14</v>
      </c>
      <c r="F583" t="s">
        <v>63</v>
      </c>
      <c r="G583">
        <v>6.7</v>
      </c>
      <c r="H583" t="str">
        <f t="shared" si="101"/>
        <v>Heavy Use</v>
      </c>
      <c r="I583" t="s">
        <v>17</v>
      </c>
      <c r="J583" t="s">
        <v>18</v>
      </c>
      <c r="K583">
        <v>6</v>
      </c>
      <c r="L583" t="str">
        <f t="shared" si="102"/>
        <v>Severly Deficient Sleep</v>
      </c>
      <c r="M583">
        <v>5</v>
      </c>
      <c r="N583" t="str">
        <f t="shared" si="103"/>
        <v>Moderate</v>
      </c>
      <c r="O583" t="s">
        <v>28</v>
      </c>
      <c r="P583">
        <v>8</v>
      </c>
      <c r="Q583" t="str">
        <f t="shared" si="98"/>
        <v>High</v>
      </c>
    </row>
    <row r="584" spans="1:17" hidden="1" x14ac:dyDescent="0.3">
      <c r="A584">
        <v>584</v>
      </c>
      <c r="B584">
        <v>22</v>
      </c>
      <c r="C584" t="str">
        <f t="shared" si="100"/>
        <v>Young Adult</v>
      </c>
      <c r="D584" t="s">
        <v>21</v>
      </c>
      <c r="E584" t="s">
        <v>22</v>
      </c>
      <c r="F584" t="s">
        <v>66</v>
      </c>
      <c r="G584">
        <v>5.8</v>
      </c>
      <c r="H584" t="str">
        <f t="shared" si="101"/>
        <v>Moderate Use</v>
      </c>
      <c r="I584" t="s">
        <v>222</v>
      </c>
      <c r="J584" t="s">
        <v>18</v>
      </c>
      <c r="K584">
        <v>6.5</v>
      </c>
      <c r="L584" t="str">
        <f t="shared" si="102"/>
        <v>Severly Deficient Sleep</v>
      </c>
      <c r="M584">
        <v>6</v>
      </c>
      <c r="N584" t="str">
        <f t="shared" si="103"/>
        <v>Moderate</v>
      </c>
      <c r="O584" t="s">
        <v>20</v>
      </c>
      <c r="Q584">
        <v>7</v>
      </c>
    </row>
    <row r="585" spans="1:17" hidden="1" x14ac:dyDescent="0.3">
      <c r="A585">
        <v>585</v>
      </c>
      <c r="B585">
        <v>19</v>
      </c>
      <c r="C585" t="str">
        <f t="shared" si="100"/>
        <v>Teenager</v>
      </c>
      <c r="D585" t="s">
        <v>13</v>
      </c>
      <c r="E585" t="s">
        <v>14</v>
      </c>
      <c r="F585" t="s">
        <v>51</v>
      </c>
      <c r="G585">
        <v>4.5</v>
      </c>
      <c r="H585" t="str">
        <f t="shared" si="101"/>
        <v>Moderate Use</v>
      </c>
      <c r="I585" t="s">
        <v>25</v>
      </c>
      <c r="J585" t="s">
        <v>26</v>
      </c>
      <c r="K585">
        <v>7.6</v>
      </c>
      <c r="L585" t="str">
        <f t="shared" si="102"/>
        <v>Sufficient Sleep</v>
      </c>
      <c r="M585">
        <v>8</v>
      </c>
      <c r="N585" t="str">
        <f t="shared" si="103"/>
        <v>Sever</v>
      </c>
      <c r="O585" t="s">
        <v>28</v>
      </c>
      <c r="P585">
        <v>4</v>
      </c>
      <c r="Q585" t="str">
        <f t="shared" ref="Q585:Q600" si="105">IF(P585&gt;=7,"High",IF(P585&gt;=5,"Medium","Low"))</f>
        <v>Low</v>
      </c>
    </row>
    <row r="586" spans="1:17" hidden="1" x14ac:dyDescent="0.3">
      <c r="A586">
        <v>586</v>
      </c>
      <c r="B586">
        <v>23</v>
      </c>
      <c r="C586" t="str">
        <f t="shared" si="100"/>
        <v>Young Adult</v>
      </c>
      <c r="D586" t="s">
        <v>21</v>
      </c>
      <c r="E586" t="s">
        <v>22</v>
      </c>
      <c r="F586" t="s">
        <v>145</v>
      </c>
      <c r="G586">
        <v>6.4</v>
      </c>
      <c r="H586" t="str">
        <f t="shared" si="101"/>
        <v>Heavy Use</v>
      </c>
      <c r="I586" t="s">
        <v>41</v>
      </c>
      <c r="J586" t="s">
        <v>18</v>
      </c>
      <c r="K586">
        <v>6.3</v>
      </c>
      <c r="L586" t="str">
        <f t="shared" si="102"/>
        <v>Severly Deficient Sleep</v>
      </c>
      <c r="M586">
        <v>5</v>
      </c>
      <c r="N586" t="str">
        <f t="shared" si="103"/>
        <v>Moderate</v>
      </c>
      <c r="O586" t="s">
        <v>28</v>
      </c>
      <c r="P586">
        <v>8</v>
      </c>
      <c r="Q586" t="str">
        <f t="shared" si="105"/>
        <v>High</v>
      </c>
    </row>
    <row r="587" spans="1:17" hidden="1" x14ac:dyDescent="0.3">
      <c r="A587">
        <v>587</v>
      </c>
      <c r="B587">
        <v>21</v>
      </c>
      <c r="C587" t="str">
        <f t="shared" si="100"/>
        <v>Young Adult</v>
      </c>
      <c r="D587" t="s">
        <v>13</v>
      </c>
      <c r="E587" t="s">
        <v>14</v>
      </c>
      <c r="F587" t="s">
        <v>144</v>
      </c>
      <c r="G587">
        <v>4.0999999999999996</v>
      </c>
      <c r="H587" t="str">
        <f t="shared" si="101"/>
        <v>Moderate Use</v>
      </c>
      <c r="I587" t="s">
        <v>17</v>
      </c>
      <c r="J587" t="s">
        <v>26</v>
      </c>
      <c r="K587">
        <v>7.7</v>
      </c>
      <c r="L587" t="str">
        <f t="shared" si="102"/>
        <v>Sufficient Sleep</v>
      </c>
      <c r="M587">
        <v>7</v>
      </c>
      <c r="N587" t="str">
        <f t="shared" si="103"/>
        <v>Sever</v>
      </c>
      <c r="O587" t="s">
        <v>20</v>
      </c>
      <c r="P587">
        <v>5</v>
      </c>
      <c r="Q587" t="str">
        <f t="shared" si="105"/>
        <v>Medium</v>
      </c>
    </row>
    <row r="588" spans="1:17" x14ac:dyDescent="0.3">
      <c r="A588">
        <v>588</v>
      </c>
      <c r="B588">
        <v>24</v>
      </c>
      <c r="C588" t="str">
        <f t="shared" si="100"/>
        <v>Young Adult</v>
      </c>
      <c r="D588" t="s">
        <v>21</v>
      </c>
      <c r="E588" t="s">
        <v>22</v>
      </c>
      <c r="F588" t="s">
        <v>58</v>
      </c>
      <c r="G588">
        <v>6.6</v>
      </c>
      <c r="H588" t="str">
        <f t="shared" si="101"/>
        <v>Heavy Use</v>
      </c>
      <c r="I588" t="s">
        <v>31</v>
      </c>
      <c r="J588" t="s">
        <v>18</v>
      </c>
      <c r="K588">
        <v>6.2</v>
      </c>
      <c r="L588" t="str">
        <f t="shared" si="102"/>
        <v>Severly Deficient Sleep</v>
      </c>
      <c r="M588">
        <v>5</v>
      </c>
      <c r="N588" t="str">
        <f t="shared" si="103"/>
        <v>Moderate</v>
      </c>
      <c r="O588" t="s">
        <v>28</v>
      </c>
      <c r="P588">
        <v>8</v>
      </c>
      <c r="Q588" t="str">
        <f>IF(P588&gt;=7,"High",IF(P588&gt;=6,"Medium","Low"))</f>
        <v>High</v>
      </c>
    </row>
    <row r="589" spans="1:17" hidden="1" x14ac:dyDescent="0.3">
      <c r="A589">
        <v>589</v>
      </c>
      <c r="B589">
        <v>20</v>
      </c>
      <c r="C589" t="str">
        <f t="shared" si="100"/>
        <v>Young Adult</v>
      </c>
      <c r="D589" t="s">
        <v>13</v>
      </c>
      <c r="E589" t="s">
        <v>14</v>
      </c>
      <c r="F589" t="s">
        <v>73</v>
      </c>
      <c r="G589">
        <v>4.4000000000000004</v>
      </c>
      <c r="H589" t="str">
        <f t="shared" si="101"/>
        <v>Moderate Use</v>
      </c>
      <c r="I589" t="s">
        <v>17</v>
      </c>
      <c r="J589" t="s">
        <v>26</v>
      </c>
      <c r="K589">
        <v>7.4</v>
      </c>
      <c r="L589" t="str">
        <f t="shared" si="102"/>
        <v>Sufficient Sleep</v>
      </c>
      <c r="M589">
        <v>7</v>
      </c>
      <c r="N589" t="str">
        <f t="shared" si="103"/>
        <v>Sever</v>
      </c>
      <c r="O589" t="s">
        <v>20</v>
      </c>
      <c r="P589">
        <v>5</v>
      </c>
      <c r="Q589" t="str">
        <f t="shared" si="105"/>
        <v>Medium</v>
      </c>
    </row>
    <row r="590" spans="1:17" hidden="1" x14ac:dyDescent="0.3">
      <c r="A590">
        <v>590</v>
      </c>
      <c r="B590">
        <v>22</v>
      </c>
      <c r="C590" t="str">
        <f t="shared" si="100"/>
        <v>Young Adult</v>
      </c>
      <c r="D590" t="s">
        <v>21</v>
      </c>
      <c r="E590" t="s">
        <v>22</v>
      </c>
      <c r="F590" t="s">
        <v>91</v>
      </c>
      <c r="G590">
        <v>5.7</v>
      </c>
      <c r="H590" t="str">
        <f t="shared" si="101"/>
        <v>Moderate Use</v>
      </c>
      <c r="I590" t="s">
        <v>25</v>
      </c>
      <c r="J590" t="s">
        <v>18</v>
      </c>
      <c r="K590">
        <v>6.8</v>
      </c>
      <c r="L590" t="str">
        <f t="shared" si="102"/>
        <v>Severly Deficient Sleep</v>
      </c>
      <c r="M590">
        <v>6</v>
      </c>
      <c r="N590" t="str">
        <f t="shared" si="103"/>
        <v>Moderate</v>
      </c>
      <c r="O590" t="s">
        <v>28</v>
      </c>
      <c r="P590">
        <v>7</v>
      </c>
      <c r="Q590" t="str">
        <f t="shared" si="105"/>
        <v>High</v>
      </c>
    </row>
    <row r="591" spans="1:17" x14ac:dyDescent="0.3">
      <c r="A591">
        <v>591</v>
      </c>
      <c r="B591">
        <v>19</v>
      </c>
      <c r="C591" t="str">
        <f t="shared" si="100"/>
        <v>Teenager</v>
      </c>
      <c r="D591" t="s">
        <v>13</v>
      </c>
      <c r="E591" t="s">
        <v>14</v>
      </c>
      <c r="F591" t="s">
        <v>23</v>
      </c>
      <c r="G591">
        <v>7</v>
      </c>
      <c r="H591" t="str">
        <f t="shared" si="101"/>
        <v>Heavy Use</v>
      </c>
      <c r="I591" t="s">
        <v>17</v>
      </c>
      <c r="J591" t="s">
        <v>18</v>
      </c>
      <c r="K591">
        <v>5.8</v>
      </c>
      <c r="L591" t="str">
        <f t="shared" si="102"/>
        <v>Severly Deficient Sleep</v>
      </c>
      <c r="M591">
        <v>4</v>
      </c>
      <c r="N591" t="str">
        <f t="shared" si="103"/>
        <v>Mild</v>
      </c>
      <c r="O591" t="s">
        <v>28</v>
      </c>
      <c r="P591">
        <v>9</v>
      </c>
      <c r="Q591" t="str">
        <f>IF(P591&gt;=7,"High",IF(P591&gt;=6,"Medium","Low"))</f>
        <v>High</v>
      </c>
    </row>
    <row r="592" spans="1:17" hidden="1" x14ac:dyDescent="0.3">
      <c r="A592">
        <v>592</v>
      </c>
      <c r="B592">
        <v>23</v>
      </c>
      <c r="C592" t="str">
        <f t="shared" si="100"/>
        <v>Young Adult</v>
      </c>
      <c r="D592" t="s">
        <v>21</v>
      </c>
      <c r="E592" t="s">
        <v>22</v>
      </c>
      <c r="F592" t="s">
        <v>81</v>
      </c>
      <c r="G592">
        <v>4.3</v>
      </c>
      <c r="H592" t="str">
        <f t="shared" si="101"/>
        <v>Moderate Use</v>
      </c>
      <c r="I592" t="s">
        <v>41</v>
      </c>
      <c r="J592" t="s">
        <v>26</v>
      </c>
      <c r="K592">
        <v>7.5</v>
      </c>
      <c r="L592" t="str">
        <f t="shared" si="102"/>
        <v>Sufficient Sleep</v>
      </c>
      <c r="M592">
        <v>7</v>
      </c>
      <c r="N592" t="str">
        <f t="shared" si="103"/>
        <v>Sever</v>
      </c>
      <c r="O592" t="s">
        <v>20</v>
      </c>
      <c r="P592">
        <v>5</v>
      </c>
      <c r="Q592" t="str">
        <f t="shared" si="105"/>
        <v>Medium</v>
      </c>
    </row>
    <row r="593" spans="1:17" hidden="1" x14ac:dyDescent="0.3">
      <c r="A593">
        <v>593</v>
      </c>
      <c r="B593">
        <v>21</v>
      </c>
      <c r="C593" t="str">
        <f t="shared" si="100"/>
        <v>Young Adult</v>
      </c>
      <c r="D593" t="s">
        <v>13</v>
      </c>
      <c r="E593" t="s">
        <v>14</v>
      </c>
      <c r="F593" t="s">
        <v>109</v>
      </c>
      <c r="G593">
        <v>6.9</v>
      </c>
      <c r="H593" t="str">
        <f t="shared" si="101"/>
        <v>Heavy Use</v>
      </c>
      <c r="I593" t="s">
        <v>31</v>
      </c>
      <c r="J593" t="s">
        <v>18</v>
      </c>
      <c r="K593">
        <v>6.1</v>
      </c>
      <c r="L593" t="str">
        <f t="shared" si="102"/>
        <v>Severly Deficient Sleep</v>
      </c>
      <c r="M593">
        <v>5</v>
      </c>
      <c r="N593" t="str">
        <f t="shared" si="103"/>
        <v>Moderate</v>
      </c>
      <c r="O593" t="s">
        <v>28</v>
      </c>
      <c r="P593">
        <v>8</v>
      </c>
      <c r="Q593" t="str">
        <f t="shared" si="105"/>
        <v>High</v>
      </c>
    </row>
    <row r="594" spans="1:17" x14ac:dyDescent="0.3">
      <c r="A594">
        <v>594</v>
      </c>
      <c r="B594">
        <v>24</v>
      </c>
      <c r="C594" t="str">
        <f t="shared" si="100"/>
        <v>Young Adult</v>
      </c>
      <c r="D594" t="s">
        <v>21</v>
      </c>
      <c r="E594" t="s">
        <v>22</v>
      </c>
      <c r="F594" t="s">
        <v>29</v>
      </c>
      <c r="G594">
        <v>5.6</v>
      </c>
      <c r="H594" t="str">
        <f t="shared" si="101"/>
        <v>Moderate Use</v>
      </c>
      <c r="I594" t="s">
        <v>17</v>
      </c>
      <c r="J594" t="s">
        <v>18</v>
      </c>
      <c r="K594">
        <v>6.9</v>
      </c>
      <c r="L594" t="str">
        <f t="shared" si="102"/>
        <v>Severly Deficient Sleep</v>
      </c>
      <c r="M594">
        <v>6</v>
      </c>
      <c r="N594" t="str">
        <f t="shared" si="103"/>
        <v>Moderate</v>
      </c>
      <c r="O594" t="s">
        <v>20</v>
      </c>
      <c r="P594">
        <v>7</v>
      </c>
      <c r="Q594" t="str">
        <f>IF(P594&gt;=7,"High",IF(P594&gt;=6,"Medium","Low"))</f>
        <v>High</v>
      </c>
    </row>
    <row r="595" spans="1:17" hidden="1" x14ac:dyDescent="0.3">
      <c r="A595">
        <v>595</v>
      </c>
      <c r="B595">
        <v>20</v>
      </c>
      <c r="C595" t="str">
        <f t="shared" si="100"/>
        <v>Young Adult</v>
      </c>
      <c r="D595" t="s">
        <v>13</v>
      </c>
      <c r="E595" t="s">
        <v>14</v>
      </c>
      <c r="F595" t="s">
        <v>62</v>
      </c>
      <c r="G595">
        <v>6.2</v>
      </c>
      <c r="H595" t="str">
        <f t="shared" si="101"/>
        <v>Heavy Use</v>
      </c>
      <c r="I595" t="s">
        <v>41</v>
      </c>
      <c r="J595" t="s">
        <v>18</v>
      </c>
      <c r="K595">
        <v>6.3</v>
      </c>
      <c r="L595" t="str">
        <f t="shared" si="102"/>
        <v>Severly Deficient Sleep</v>
      </c>
      <c r="M595">
        <v>5</v>
      </c>
      <c r="N595" t="str">
        <f t="shared" si="103"/>
        <v>Moderate</v>
      </c>
      <c r="O595" t="s">
        <v>28</v>
      </c>
      <c r="P595">
        <v>8</v>
      </c>
      <c r="Q595" t="str">
        <f t="shared" si="105"/>
        <v>High</v>
      </c>
    </row>
    <row r="596" spans="1:17" x14ac:dyDescent="0.3">
      <c r="A596">
        <v>596</v>
      </c>
      <c r="B596">
        <v>21</v>
      </c>
      <c r="C596" t="str">
        <f t="shared" si="100"/>
        <v>Young Adult</v>
      </c>
      <c r="D596" t="s">
        <v>21</v>
      </c>
      <c r="E596" t="s">
        <v>14</v>
      </c>
      <c r="F596" t="s">
        <v>55</v>
      </c>
      <c r="G596">
        <v>5.8</v>
      </c>
      <c r="H596" t="str">
        <f t="shared" si="101"/>
        <v>Moderate Use</v>
      </c>
      <c r="I596" t="s">
        <v>17</v>
      </c>
      <c r="J596" t="s">
        <v>18</v>
      </c>
      <c r="K596">
        <v>6.7</v>
      </c>
      <c r="L596" t="str">
        <f t="shared" si="102"/>
        <v>Severly Deficient Sleep</v>
      </c>
      <c r="M596">
        <v>6</v>
      </c>
      <c r="N596" t="str">
        <f t="shared" si="103"/>
        <v>Moderate</v>
      </c>
      <c r="O596" t="s">
        <v>28</v>
      </c>
      <c r="P596">
        <v>7</v>
      </c>
      <c r="Q596" t="str">
        <f t="shared" ref="Q596:Q597" si="106">IF(P596&gt;=7,"High",IF(P596&gt;=6,"Medium","Low"))</f>
        <v>High</v>
      </c>
    </row>
    <row r="597" spans="1:17" x14ac:dyDescent="0.3">
      <c r="A597">
        <v>597</v>
      </c>
      <c r="B597">
        <v>23</v>
      </c>
      <c r="C597" t="str">
        <f t="shared" si="100"/>
        <v>Young Adult</v>
      </c>
      <c r="D597" t="s">
        <v>13</v>
      </c>
      <c r="E597" t="s">
        <v>22</v>
      </c>
      <c r="F597" t="s">
        <v>39</v>
      </c>
      <c r="G597">
        <v>4.9000000000000004</v>
      </c>
      <c r="H597" t="str">
        <f t="shared" si="101"/>
        <v>Moderate Use</v>
      </c>
      <c r="I597" t="s">
        <v>31</v>
      </c>
      <c r="J597" t="s">
        <v>26</v>
      </c>
      <c r="K597">
        <v>7.3</v>
      </c>
      <c r="L597" t="str">
        <f t="shared" si="102"/>
        <v>Sufficient Sleep</v>
      </c>
      <c r="M597">
        <v>7</v>
      </c>
      <c r="N597" t="str">
        <f t="shared" si="103"/>
        <v>Sever</v>
      </c>
      <c r="O597" t="s">
        <v>20</v>
      </c>
      <c r="P597">
        <v>5</v>
      </c>
      <c r="Q597" t="str">
        <f t="shared" si="106"/>
        <v>Low</v>
      </c>
    </row>
    <row r="598" spans="1:17" hidden="1" x14ac:dyDescent="0.3">
      <c r="A598">
        <v>598</v>
      </c>
      <c r="B598">
        <v>20</v>
      </c>
      <c r="C598" t="str">
        <f t="shared" si="100"/>
        <v>Young Adult</v>
      </c>
      <c r="D598" t="s">
        <v>21</v>
      </c>
      <c r="E598" t="s">
        <v>14</v>
      </c>
      <c r="F598" t="s">
        <v>35</v>
      </c>
      <c r="G598">
        <v>6.4</v>
      </c>
      <c r="H598" t="str">
        <f t="shared" si="101"/>
        <v>Heavy Use</v>
      </c>
      <c r="I598" t="s">
        <v>41</v>
      </c>
      <c r="J598" t="s">
        <v>18</v>
      </c>
      <c r="K598">
        <v>6.2</v>
      </c>
      <c r="L598" t="str">
        <f t="shared" si="102"/>
        <v>Severly Deficient Sleep</v>
      </c>
      <c r="M598">
        <v>5</v>
      </c>
      <c r="N598" t="str">
        <f t="shared" si="103"/>
        <v>Moderate</v>
      </c>
      <c r="O598" t="s">
        <v>28</v>
      </c>
      <c r="P598">
        <v>8</v>
      </c>
      <c r="Q598" t="str">
        <f t="shared" si="105"/>
        <v>High</v>
      </c>
    </row>
    <row r="599" spans="1:17" hidden="1" x14ac:dyDescent="0.3">
      <c r="A599">
        <v>599</v>
      </c>
      <c r="B599">
        <v>22</v>
      </c>
      <c r="C599" t="str">
        <f t="shared" si="100"/>
        <v>Young Adult</v>
      </c>
      <c r="D599" t="s">
        <v>13</v>
      </c>
      <c r="E599" t="s">
        <v>22</v>
      </c>
      <c r="F599" t="s">
        <v>60</v>
      </c>
      <c r="G599">
        <v>5.0999999999999996</v>
      </c>
      <c r="H599" t="str">
        <f t="shared" si="101"/>
        <v>Moderate Use</v>
      </c>
      <c r="I599" t="s">
        <v>25</v>
      </c>
      <c r="J599" t="s">
        <v>26</v>
      </c>
      <c r="K599">
        <v>7.1</v>
      </c>
      <c r="L599" t="str">
        <f t="shared" si="102"/>
        <v>Sufficient Sleep</v>
      </c>
      <c r="M599">
        <v>7</v>
      </c>
      <c r="N599" t="str">
        <f t="shared" si="103"/>
        <v>Sever</v>
      </c>
      <c r="O599" t="s">
        <v>20</v>
      </c>
      <c r="P599">
        <v>5</v>
      </c>
      <c r="Q599" t="str">
        <f t="shared" si="105"/>
        <v>Medium</v>
      </c>
    </row>
    <row r="600" spans="1:17" hidden="1" x14ac:dyDescent="0.3">
      <c r="A600">
        <v>600</v>
      </c>
      <c r="B600">
        <v>19</v>
      </c>
      <c r="C600" t="str">
        <f t="shared" si="100"/>
        <v>Teenager</v>
      </c>
      <c r="D600" t="s">
        <v>21</v>
      </c>
      <c r="E600" t="s">
        <v>14</v>
      </c>
      <c r="F600" t="s">
        <v>63</v>
      </c>
      <c r="G600">
        <v>6.7</v>
      </c>
      <c r="H600" t="str">
        <f t="shared" si="101"/>
        <v>Heavy Use</v>
      </c>
      <c r="I600" t="s">
        <v>17</v>
      </c>
      <c r="J600" t="s">
        <v>18</v>
      </c>
      <c r="K600">
        <v>6</v>
      </c>
      <c r="L600" t="str">
        <f t="shared" si="102"/>
        <v>Severly Deficient Sleep</v>
      </c>
      <c r="M600">
        <v>4</v>
      </c>
      <c r="N600" t="str">
        <f t="shared" si="103"/>
        <v>Mild</v>
      </c>
      <c r="O600" t="s">
        <v>28</v>
      </c>
      <c r="P600">
        <v>8</v>
      </c>
      <c r="Q600" t="str">
        <f t="shared" si="105"/>
        <v>High</v>
      </c>
    </row>
    <row r="601" spans="1:17" hidden="1" x14ac:dyDescent="0.3">
      <c r="A601">
        <v>601</v>
      </c>
      <c r="B601">
        <v>24</v>
      </c>
      <c r="C601" t="str">
        <f t="shared" si="100"/>
        <v>Young Adult</v>
      </c>
      <c r="D601" t="s">
        <v>13</v>
      </c>
      <c r="E601" t="s">
        <v>22</v>
      </c>
      <c r="F601" t="s">
        <v>66</v>
      </c>
      <c r="G601">
        <v>5.5</v>
      </c>
      <c r="H601" t="str">
        <f t="shared" si="101"/>
        <v>Moderate Use</v>
      </c>
      <c r="I601" t="s">
        <v>222</v>
      </c>
      <c r="J601" t="s">
        <v>18</v>
      </c>
      <c r="K601">
        <v>6.8</v>
      </c>
      <c r="L601" t="str">
        <f t="shared" si="102"/>
        <v>Severly Deficient Sleep</v>
      </c>
      <c r="M601">
        <v>6</v>
      </c>
      <c r="N601" t="str">
        <f t="shared" si="103"/>
        <v>Moderate</v>
      </c>
      <c r="O601" t="s">
        <v>20</v>
      </c>
      <c r="Q601">
        <v>7</v>
      </c>
    </row>
    <row r="602" spans="1:17" hidden="1" x14ac:dyDescent="0.3">
      <c r="A602">
        <v>602</v>
      </c>
      <c r="B602">
        <v>21</v>
      </c>
      <c r="C602" t="str">
        <f t="shared" si="100"/>
        <v>Young Adult</v>
      </c>
      <c r="D602" t="s">
        <v>21</v>
      </c>
      <c r="E602" t="s">
        <v>14</v>
      </c>
      <c r="F602" t="s">
        <v>51</v>
      </c>
      <c r="G602">
        <v>4.3</v>
      </c>
      <c r="H602" t="str">
        <f t="shared" si="101"/>
        <v>Moderate Use</v>
      </c>
      <c r="I602" t="s">
        <v>25</v>
      </c>
      <c r="J602" t="s">
        <v>26</v>
      </c>
      <c r="K602">
        <v>7.6</v>
      </c>
      <c r="L602" t="str">
        <f t="shared" si="102"/>
        <v>Sufficient Sleep</v>
      </c>
      <c r="M602">
        <v>8</v>
      </c>
      <c r="N602" t="str">
        <f t="shared" si="103"/>
        <v>Sever</v>
      </c>
      <c r="O602" t="s">
        <v>28</v>
      </c>
      <c r="P602">
        <v>4</v>
      </c>
      <c r="Q602" t="str">
        <f t="shared" ref="Q602:Q617" si="107">IF(P602&gt;=7,"High",IF(P602&gt;=5,"Medium","Low"))</f>
        <v>Low</v>
      </c>
    </row>
    <row r="603" spans="1:17" hidden="1" x14ac:dyDescent="0.3">
      <c r="A603">
        <v>603</v>
      </c>
      <c r="B603">
        <v>23</v>
      </c>
      <c r="C603" t="str">
        <f t="shared" si="100"/>
        <v>Young Adult</v>
      </c>
      <c r="D603" t="s">
        <v>13</v>
      </c>
      <c r="E603" t="s">
        <v>22</v>
      </c>
      <c r="F603" t="s">
        <v>145</v>
      </c>
      <c r="G603">
        <v>6.2</v>
      </c>
      <c r="H603" t="str">
        <f t="shared" si="101"/>
        <v>Heavy Use</v>
      </c>
      <c r="I603" t="s">
        <v>17</v>
      </c>
      <c r="J603" t="s">
        <v>18</v>
      </c>
      <c r="K603">
        <v>6.4</v>
      </c>
      <c r="L603" t="str">
        <f t="shared" si="102"/>
        <v>Severly Deficient Sleep</v>
      </c>
      <c r="M603">
        <v>5</v>
      </c>
      <c r="N603" t="str">
        <f t="shared" si="103"/>
        <v>Moderate</v>
      </c>
      <c r="O603" t="s">
        <v>28</v>
      </c>
      <c r="P603">
        <v>8</v>
      </c>
      <c r="Q603" t="str">
        <f t="shared" si="107"/>
        <v>High</v>
      </c>
    </row>
    <row r="604" spans="1:17" hidden="1" x14ac:dyDescent="0.3">
      <c r="A604">
        <v>604</v>
      </c>
      <c r="B604">
        <v>20</v>
      </c>
      <c r="C604" t="str">
        <f t="shared" si="100"/>
        <v>Young Adult</v>
      </c>
      <c r="D604" t="s">
        <v>21</v>
      </c>
      <c r="E604" t="s">
        <v>14</v>
      </c>
      <c r="F604" t="s">
        <v>144</v>
      </c>
      <c r="G604">
        <v>4.5</v>
      </c>
      <c r="H604" t="str">
        <f t="shared" si="101"/>
        <v>Moderate Use</v>
      </c>
      <c r="I604" t="s">
        <v>41</v>
      </c>
      <c r="J604" t="s">
        <v>26</v>
      </c>
      <c r="K604">
        <v>7.4</v>
      </c>
      <c r="L604" t="str">
        <f t="shared" si="102"/>
        <v>Sufficient Sleep</v>
      </c>
      <c r="M604">
        <v>7</v>
      </c>
      <c r="N604" t="str">
        <f t="shared" si="103"/>
        <v>Sever</v>
      </c>
      <c r="O604" t="s">
        <v>20</v>
      </c>
      <c r="P604">
        <v>5</v>
      </c>
      <c r="Q604" t="str">
        <f t="shared" si="107"/>
        <v>Medium</v>
      </c>
    </row>
    <row r="605" spans="1:17" x14ac:dyDescent="0.3">
      <c r="A605">
        <v>605</v>
      </c>
      <c r="B605">
        <v>22</v>
      </c>
      <c r="C605" t="str">
        <f t="shared" si="100"/>
        <v>Young Adult</v>
      </c>
      <c r="D605" t="s">
        <v>13</v>
      </c>
      <c r="E605" t="s">
        <v>22</v>
      </c>
      <c r="F605" t="s">
        <v>58</v>
      </c>
      <c r="G605">
        <v>6.3</v>
      </c>
      <c r="H605" t="str">
        <f t="shared" si="101"/>
        <v>Heavy Use</v>
      </c>
      <c r="I605" t="s">
        <v>31</v>
      </c>
      <c r="J605" t="s">
        <v>18</v>
      </c>
      <c r="K605">
        <v>6.3</v>
      </c>
      <c r="L605" t="str">
        <f t="shared" si="102"/>
        <v>Severly Deficient Sleep</v>
      </c>
      <c r="M605">
        <v>5</v>
      </c>
      <c r="N605" t="str">
        <f t="shared" si="103"/>
        <v>Moderate</v>
      </c>
      <c r="O605" t="s">
        <v>28</v>
      </c>
      <c r="P605">
        <v>8</v>
      </c>
      <c r="Q605" t="str">
        <f>IF(P605&gt;=7,"High",IF(P605&gt;=6,"Medium","Low"))</f>
        <v>High</v>
      </c>
    </row>
    <row r="606" spans="1:17" hidden="1" x14ac:dyDescent="0.3">
      <c r="A606">
        <v>606</v>
      </c>
      <c r="B606">
        <v>19</v>
      </c>
      <c r="C606" t="str">
        <f t="shared" si="100"/>
        <v>Teenager</v>
      </c>
      <c r="D606" t="s">
        <v>21</v>
      </c>
      <c r="E606" t="s">
        <v>14</v>
      </c>
      <c r="F606" t="s">
        <v>73</v>
      </c>
      <c r="G606">
        <v>4.7</v>
      </c>
      <c r="H606" t="str">
        <f t="shared" si="101"/>
        <v>Moderate Use</v>
      </c>
      <c r="I606" t="s">
        <v>17</v>
      </c>
      <c r="J606" t="s">
        <v>26</v>
      </c>
      <c r="K606">
        <v>7.2</v>
      </c>
      <c r="L606" t="str">
        <f t="shared" si="102"/>
        <v>Sufficient Sleep</v>
      </c>
      <c r="M606">
        <v>7</v>
      </c>
      <c r="N606" t="str">
        <f t="shared" si="103"/>
        <v>Sever</v>
      </c>
      <c r="O606" t="s">
        <v>20</v>
      </c>
      <c r="P606">
        <v>5</v>
      </c>
      <c r="Q606" t="str">
        <f t="shared" si="107"/>
        <v>Medium</v>
      </c>
    </row>
    <row r="607" spans="1:17" hidden="1" x14ac:dyDescent="0.3">
      <c r="A607">
        <v>607</v>
      </c>
      <c r="B607">
        <v>24</v>
      </c>
      <c r="C607" t="str">
        <f t="shared" si="100"/>
        <v>Young Adult</v>
      </c>
      <c r="D607" t="s">
        <v>13</v>
      </c>
      <c r="E607" t="s">
        <v>22</v>
      </c>
      <c r="F607" t="s">
        <v>91</v>
      </c>
      <c r="G607">
        <v>5.9</v>
      </c>
      <c r="H607" t="str">
        <f t="shared" si="101"/>
        <v>Moderate Use</v>
      </c>
      <c r="I607" t="s">
        <v>25</v>
      </c>
      <c r="J607" t="s">
        <v>18</v>
      </c>
      <c r="K607">
        <v>6.6</v>
      </c>
      <c r="L607" t="str">
        <f t="shared" si="102"/>
        <v>Severly Deficient Sleep</v>
      </c>
      <c r="M607">
        <v>6</v>
      </c>
      <c r="N607" t="str">
        <f t="shared" si="103"/>
        <v>Moderate</v>
      </c>
      <c r="O607" t="s">
        <v>28</v>
      </c>
      <c r="P607">
        <v>7</v>
      </c>
      <c r="Q607" t="str">
        <f t="shared" si="107"/>
        <v>High</v>
      </c>
    </row>
    <row r="608" spans="1:17" x14ac:dyDescent="0.3">
      <c r="A608">
        <v>608</v>
      </c>
      <c r="B608">
        <v>21</v>
      </c>
      <c r="C608" t="str">
        <f t="shared" si="100"/>
        <v>Young Adult</v>
      </c>
      <c r="D608" t="s">
        <v>21</v>
      </c>
      <c r="E608" t="s">
        <v>14</v>
      </c>
      <c r="F608" t="s">
        <v>23</v>
      </c>
      <c r="G608">
        <v>7.1</v>
      </c>
      <c r="H608" t="str">
        <f t="shared" si="101"/>
        <v>Heavy Use</v>
      </c>
      <c r="I608" t="s">
        <v>41</v>
      </c>
      <c r="J608" t="s">
        <v>18</v>
      </c>
      <c r="K608">
        <v>5.7</v>
      </c>
      <c r="L608" t="str">
        <f t="shared" si="102"/>
        <v>Severly Deficient Sleep</v>
      </c>
      <c r="M608">
        <v>4</v>
      </c>
      <c r="N608" t="str">
        <f t="shared" si="103"/>
        <v>Mild</v>
      </c>
      <c r="O608" t="s">
        <v>28</v>
      </c>
      <c r="P608">
        <v>9</v>
      </c>
      <c r="Q608" t="str">
        <f>IF(P608&gt;=7,"High",IF(P608&gt;=6,"Medium","Low"))</f>
        <v>High</v>
      </c>
    </row>
    <row r="609" spans="1:17" hidden="1" x14ac:dyDescent="0.3">
      <c r="A609">
        <v>609</v>
      </c>
      <c r="B609">
        <v>23</v>
      </c>
      <c r="C609" t="str">
        <f t="shared" si="100"/>
        <v>Young Adult</v>
      </c>
      <c r="D609" t="s">
        <v>13</v>
      </c>
      <c r="E609" t="s">
        <v>22</v>
      </c>
      <c r="F609" t="s">
        <v>81</v>
      </c>
      <c r="G609">
        <v>4.4000000000000004</v>
      </c>
      <c r="H609" t="str">
        <f t="shared" si="101"/>
        <v>Moderate Use</v>
      </c>
      <c r="I609" t="s">
        <v>17</v>
      </c>
      <c r="J609" t="s">
        <v>26</v>
      </c>
      <c r="K609">
        <v>7.4</v>
      </c>
      <c r="L609" t="str">
        <f t="shared" si="102"/>
        <v>Sufficient Sleep</v>
      </c>
      <c r="M609">
        <v>7</v>
      </c>
      <c r="N609" t="str">
        <f t="shared" si="103"/>
        <v>Sever</v>
      </c>
      <c r="O609" t="s">
        <v>20</v>
      </c>
      <c r="P609">
        <v>5</v>
      </c>
      <c r="Q609" t="str">
        <f t="shared" si="107"/>
        <v>Medium</v>
      </c>
    </row>
    <row r="610" spans="1:17" hidden="1" x14ac:dyDescent="0.3">
      <c r="A610">
        <v>610</v>
      </c>
      <c r="B610">
        <v>20</v>
      </c>
      <c r="C610" t="str">
        <f t="shared" si="100"/>
        <v>Young Adult</v>
      </c>
      <c r="D610" t="s">
        <v>21</v>
      </c>
      <c r="E610" t="s">
        <v>14</v>
      </c>
      <c r="F610" t="s">
        <v>109</v>
      </c>
      <c r="G610">
        <v>6.6</v>
      </c>
      <c r="H610" t="str">
        <f t="shared" si="101"/>
        <v>Heavy Use</v>
      </c>
      <c r="I610" t="s">
        <v>31</v>
      </c>
      <c r="J610" t="s">
        <v>18</v>
      </c>
      <c r="K610">
        <v>6.2</v>
      </c>
      <c r="L610" t="str">
        <f t="shared" si="102"/>
        <v>Severly Deficient Sleep</v>
      </c>
      <c r="M610">
        <v>5</v>
      </c>
      <c r="N610" t="str">
        <f t="shared" si="103"/>
        <v>Moderate</v>
      </c>
      <c r="O610" t="s">
        <v>28</v>
      </c>
      <c r="P610">
        <v>8</v>
      </c>
      <c r="Q610" t="str">
        <f t="shared" si="107"/>
        <v>High</v>
      </c>
    </row>
    <row r="611" spans="1:17" x14ac:dyDescent="0.3">
      <c r="A611">
        <v>611</v>
      </c>
      <c r="B611">
        <v>22</v>
      </c>
      <c r="C611" t="str">
        <f t="shared" si="100"/>
        <v>Young Adult</v>
      </c>
      <c r="D611" t="s">
        <v>13</v>
      </c>
      <c r="E611" t="s">
        <v>22</v>
      </c>
      <c r="F611" t="s">
        <v>29</v>
      </c>
      <c r="G611">
        <v>5.4</v>
      </c>
      <c r="H611" t="str">
        <f t="shared" si="101"/>
        <v>Moderate Use</v>
      </c>
      <c r="I611" t="s">
        <v>17</v>
      </c>
      <c r="J611" t="s">
        <v>18</v>
      </c>
      <c r="K611">
        <v>6.9</v>
      </c>
      <c r="L611" t="str">
        <f t="shared" si="102"/>
        <v>Severly Deficient Sleep</v>
      </c>
      <c r="M611">
        <v>6</v>
      </c>
      <c r="N611" t="str">
        <f t="shared" si="103"/>
        <v>Moderate</v>
      </c>
      <c r="O611" t="s">
        <v>20</v>
      </c>
      <c r="P611">
        <v>7</v>
      </c>
      <c r="Q611" t="str">
        <f>IF(P611&gt;=7,"High",IF(P611&gt;=6,"Medium","Low"))</f>
        <v>High</v>
      </c>
    </row>
    <row r="612" spans="1:17" hidden="1" x14ac:dyDescent="0.3">
      <c r="A612">
        <v>612</v>
      </c>
      <c r="B612">
        <v>19</v>
      </c>
      <c r="C612" t="str">
        <f t="shared" si="100"/>
        <v>Teenager</v>
      </c>
      <c r="D612" t="s">
        <v>21</v>
      </c>
      <c r="E612" t="s">
        <v>14</v>
      </c>
      <c r="F612" t="s">
        <v>62</v>
      </c>
      <c r="G612">
        <v>6.5</v>
      </c>
      <c r="H612" t="str">
        <f t="shared" si="101"/>
        <v>Heavy Use</v>
      </c>
      <c r="I612" t="s">
        <v>41</v>
      </c>
      <c r="J612" t="s">
        <v>18</v>
      </c>
      <c r="K612">
        <v>6.1</v>
      </c>
      <c r="L612" t="str">
        <f t="shared" si="102"/>
        <v>Severly Deficient Sleep</v>
      </c>
      <c r="M612">
        <v>5</v>
      </c>
      <c r="N612" t="str">
        <f t="shared" si="103"/>
        <v>Moderate</v>
      </c>
      <c r="O612" t="s">
        <v>28</v>
      </c>
      <c r="P612">
        <v>8</v>
      </c>
      <c r="Q612" t="str">
        <f t="shared" si="107"/>
        <v>High</v>
      </c>
    </row>
    <row r="613" spans="1:17" x14ac:dyDescent="0.3">
      <c r="A613">
        <v>613</v>
      </c>
      <c r="B613">
        <v>24</v>
      </c>
      <c r="C613" t="str">
        <f t="shared" si="100"/>
        <v>Young Adult</v>
      </c>
      <c r="D613" t="s">
        <v>13</v>
      </c>
      <c r="E613" t="s">
        <v>22</v>
      </c>
      <c r="F613" t="s">
        <v>55</v>
      </c>
      <c r="G613">
        <v>4.8</v>
      </c>
      <c r="H613" t="str">
        <f t="shared" si="101"/>
        <v>Moderate Use</v>
      </c>
      <c r="I613" t="s">
        <v>25</v>
      </c>
      <c r="J613" t="s">
        <v>26</v>
      </c>
      <c r="K613">
        <v>7.3</v>
      </c>
      <c r="L613" t="str">
        <f t="shared" si="102"/>
        <v>Sufficient Sleep</v>
      </c>
      <c r="M613">
        <v>7</v>
      </c>
      <c r="N613" t="str">
        <f t="shared" si="103"/>
        <v>Sever</v>
      </c>
      <c r="O613" t="s">
        <v>20</v>
      </c>
      <c r="P613">
        <v>5</v>
      </c>
      <c r="Q613" t="str">
        <f t="shared" ref="Q613:Q614" si="108">IF(P613&gt;=7,"High",IF(P613&gt;=6,"Medium","Low"))</f>
        <v>Low</v>
      </c>
    </row>
    <row r="614" spans="1:17" x14ac:dyDescent="0.3">
      <c r="A614">
        <v>614</v>
      </c>
      <c r="B614">
        <v>21</v>
      </c>
      <c r="C614" t="str">
        <f t="shared" si="100"/>
        <v>Young Adult</v>
      </c>
      <c r="D614" t="s">
        <v>21</v>
      </c>
      <c r="E614" t="s">
        <v>14</v>
      </c>
      <c r="F614" t="s">
        <v>39</v>
      </c>
      <c r="G614">
        <v>5.7</v>
      </c>
      <c r="H614" t="str">
        <f t="shared" si="101"/>
        <v>Moderate Use</v>
      </c>
      <c r="I614" t="s">
        <v>17</v>
      </c>
      <c r="J614" t="s">
        <v>18</v>
      </c>
      <c r="K614">
        <v>6.7</v>
      </c>
      <c r="L614" t="str">
        <f t="shared" si="102"/>
        <v>Severly Deficient Sleep</v>
      </c>
      <c r="M614">
        <v>6</v>
      </c>
      <c r="N614" t="str">
        <f t="shared" si="103"/>
        <v>Moderate</v>
      </c>
      <c r="O614" t="s">
        <v>28</v>
      </c>
      <c r="P614">
        <v>7</v>
      </c>
      <c r="Q614" t="str">
        <f t="shared" si="108"/>
        <v>High</v>
      </c>
    </row>
    <row r="615" spans="1:17" hidden="1" x14ac:dyDescent="0.3">
      <c r="A615">
        <v>615</v>
      </c>
      <c r="B615">
        <v>23</v>
      </c>
      <c r="C615" t="str">
        <f t="shared" si="100"/>
        <v>Young Adult</v>
      </c>
      <c r="D615" t="s">
        <v>13</v>
      </c>
      <c r="E615" t="s">
        <v>22</v>
      </c>
      <c r="F615" t="s">
        <v>35</v>
      </c>
      <c r="G615">
        <v>6.1</v>
      </c>
      <c r="H615" t="str">
        <f t="shared" si="101"/>
        <v>Heavy Use</v>
      </c>
      <c r="I615" t="s">
        <v>31</v>
      </c>
      <c r="J615" t="s">
        <v>18</v>
      </c>
      <c r="K615">
        <v>6.4</v>
      </c>
      <c r="L615" t="str">
        <f t="shared" si="102"/>
        <v>Severly Deficient Sleep</v>
      </c>
      <c r="M615">
        <v>5</v>
      </c>
      <c r="N615" t="str">
        <f t="shared" si="103"/>
        <v>Moderate</v>
      </c>
      <c r="O615" t="s">
        <v>28</v>
      </c>
      <c r="P615">
        <v>8</v>
      </c>
      <c r="Q615" t="str">
        <f t="shared" si="107"/>
        <v>High</v>
      </c>
    </row>
    <row r="616" spans="1:17" hidden="1" x14ac:dyDescent="0.3">
      <c r="A616">
        <v>616</v>
      </c>
      <c r="B616">
        <v>20</v>
      </c>
      <c r="C616" t="str">
        <f t="shared" si="100"/>
        <v>Young Adult</v>
      </c>
      <c r="D616" t="s">
        <v>21</v>
      </c>
      <c r="E616" t="s">
        <v>14</v>
      </c>
      <c r="F616" t="s">
        <v>60</v>
      </c>
      <c r="G616">
        <v>4.5999999999999996</v>
      </c>
      <c r="H616" t="str">
        <f t="shared" si="101"/>
        <v>Moderate Use</v>
      </c>
      <c r="I616" t="s">
        <v>41</v>
      </c>
      <c r="J616" t="s">
        <v>26</v>
      </c>
      <c r="K616">
        <v>7.2</v>
      </c>
      <c r="L616" t="str">
        <f t="shared" si="102"/>
        <v>Sufficient Sleep</v>
      </c>
      <c r="M616">
        <v>7</v>
      </c>
      <c r="N616" t="str">
        <f t="shared" si="103"/>
        <v>Sever</v>
      </c>
      <c r="O616" t="s">
        <v>20</v>
      </c>
      <c r="P616">
        <v>5</v>
      </c>
      <c r="Q616" t="str">
        <f t="shared" si="107"/>
        <v>Medium</v>
      </c>
    </row>
    <row r="617" spans="1:17" hidden="1" x14ac:dyDescent="0.3">
      <c r="A617">
        <v>617</v>
      </c>
      <c r="B617">
        <v>22</v>
      </c>
      <c r="C617" t="str">
        <f t="shared" si="100"/>
        <v>Young Adult</v>
      </c>
      <c r="D617" t="s">
        <v>13</v>
      </c>
      <c r="E617" t="s">
        <v>22</v>
      </c>
      <c r="F617" t="s">
        <v>63</v>
      </c>
      <c r="G617">
        <v>6.8</v>
      </c>
      <c r="H617" t="str">
        <f t="shared" si="101"/>
        <v>Heavy Use</v>
      </c>
      <c r="I617" t="s">
        <v>17</v>
      </c>
      <c r="J617" t="s">
        <v>18</v>
      </c>
      <c r="K617">
        <v>5.9</v>
      </c>
      <c r="L617" t="str">
        <f t="shared" si="102"/>
        <v>Severly Deficient Sleep</v>
      </c>
      <c r="M617">
        <v>4</v>
      </c>
      <c r="N617" t="str">
        <f t="shared" si="103"/>
        <v>Mild</v>
      </c>
      <c r="O617" t="s">
        <v>28</v>
      </c>
      <c r="P617">
        <v>9</v>
      </c>
      <c r="Q617" t="str">
        <f t="shared" si="107"/>
        <v>High</v>
      </c>
    </row>
    <row r="618" spans="1:17" hidden="1" x14ac:dyDescent="0.3">
      <c r="A618">
        <v>618</v>
      </c>
      <c r="B618">
        <v>19</v>
      </c>
      <c r="C618" t="str">
        <f t="shared" si="100"/>
        <v>Teenager</v>
      </c>
      <c r="D618" t="s">
        <v>21</v>
      </c>
      <c r="E618" t="s">
        <v>14</v>
      </c>
      <c r="F618" t="s">
        <v>66</v>
      </c>
      <c r="G618">
        <v>5.6</v>
      </c>
      <c r="H618" t="str">
        <f t="shared" si="101"/>
        <v>Moderate Use</v>
      </c>
      <c r="I618" t="s">
        <v>222</v>
      </c>
      <c r="J618" t="s">
        <v>18</v>
      </c>
      <c r="K618">
        <v>6.8</v>
      </c>
      <c r="L618" t="str">
        <f t="shared" si="102"/>
        <v>Severly Deficient Sleep</v>
      </c>
      <c r="M618">
        <v>6</v>
      </c>
      <c r="N618" t="str">
        <f t="shared" si="103"/>
        <v>Moderate</v>
      </c>
      <c r="O618" t="s">
        <v>20</v>
      </c>
      <c r="Q618">
        <v>7</v>
      </c>
    </row>
    <row r="619" spans="1:17" hidden="1" x14ac:dyDescent="0.3">
      <c r="A619">
        <v>619</v>
      </c>
      <c r="B619">
        <v>24</v>
      </c>
      <c r="C619" t="str">
        <f t="shared" si="100"/>
        <v>Young Adult</v>
      </c>
      <c r="D619" t="s">
        <v>13</v>
      </c>
      <c r="E619" t="s">
        <v>22</v>
      </c>
      <c r="F619" t="s">
        <v>51</v>
      </c>
      <c r="G619">
        <v>4.2</v>
      </c>
      <c r="H619" t="str">
        <f t="shared" si="101"/>
        <v>Moderate Use</v>
      </c>
      <c r="I619" t="s">
        <v>25</v>
      </c>
      <c r="J619" t="s">
        <v>26</v>
      </c>
      <c r="K619">
        <v>7.5</v>
      </c>
      <c r="L619" t="str">
        <f t="shared" si="102"/>
        <v>Sufficient Sleep</v>
      </c>
      <c r="M619">
        <v>8</v>
      </c>
      <c r="N619" t="str">
        <f t="shared" si="103"/>
        <v>Sever</v>
      </c>
      <c r="O619" t="s">
        <v>28</v>
      </c>
      <c r="P619">
        <v>4</v>
      </c>
      <c r="Q619" t="str">
        <f t="shared" ref="Q619:Q634" si="109">IF(P619&gt;=7,"High",IF(P619&gt;=5,"Medium","Low"))</f>
        <v>Low</v>
      </c>
    </row>
    <row r="620" spans="1:17" hidden="1" x14ac:dyDescent="0.3">
      <c r="A620">
        <v>620</v>
      </c>
      <c r="B620">
        <v>21</v>
      </c>
      <c r="C620" t="str">
        <f t="shared" si="100"/>
        <v>Young Adult</v>
      </c>
      <c r="D620" t="s">
        <v>21</v>
      </c>
      <c r="E620" t="s">
        <v>14</v>
      </c>
      <c r="F620" t="s">
        <v>145</v>
      </c>
      <c r="G620">
        <v>6.3</v>
      </c>
      <c r="H620" t="str">
        <f t="shared" si="101"/>
        <v>Heavy Use</v>
      </c>
      <c r="I620" t="s">
        <v>31</v>
      </c>
      <c r="J620" t="s">
        <v>18</v>
      </c>
      <c r="K620">
        <v>6.3</v>
      </c>
      <c r="L620" t="str">
        <f t="shared" si="102"/>
        <v>Severly Deficient Sleep</v>
      </c>
      <c r="M620">
        <v>5</v>
      </c>
      <c r="N620" t="str">
        <f t="shared" si="103"/>
        <v>Moderate</v>
      </c>
      <c r="O620" t="s">
        <v>28</v>
      </c>
      <c r="P620">
        <v>8</v>
      </c>
      <c r="Q620" t="str">
        <f t="shared" si="109"/>
        <v>High</v>
      </c>
    </row>
    <row r="621" spans="1:17" hidden="1" x14ac:dyDescent="0.3">
      <c r="A621">
        <v>621</v>
      </c>
      <c r="B621">
        <v>23</v>
      </c>
      <c r="C621" t="str">
        <f t="shared" si="100"/>
        <v>Young Adult</v>
      </c>
      <c r="D621" t="s">
        <v>13</v>
      </c>
      <c r="E621" t="s">
        <v>22</v>
      </c>
      <c r="F621" t="s">
        <v>144</v>
      </c>
      <c r="G621">
        <v>4.4000000000000004</v>
      </c>
      <c r="H621" t="str">
        <f t="shared" si="101"/>
        <v>Moderate Use</v>
      </c>
      <c r="I621" t="s">
        <v>17</v>
      </c>
      <c r="J621" t="s">
        <v>26</v>
      </c>
      <c r="K621">
        <v>7.4</v>
      </c>
      <c r="L621" t="str">
        <f t="shared" si="102"/>
        <v>Sufficient Sleep</v>
      </c>
      <c r="M621">
        <v>7</v>
      </c>
      <c r="N621" t="str">
        <f t="shared" si="103"/>
        <v>Sever</v>
      </c>
      <c r="O621" t="s">
        <v>20</v>
      </c>
      <c r="P621">
        <v>5</v>
      </c>
      <c r="Q621" t="str">
        <f t="shared" si="109"/>
        <v>Medium</v>
      </c>
    </row>
    <row r="622" spans="1:17" x14ac:dyDescent="0.3">
      <c r="A622">
        <v>622</v>
      </c>
      <c r="B622">
        <v>20</v>
      </c>
      <c r="C622" t="str">
        <f t="shared" si="100"/>
        <v>Young Adult</v>
      </c>
      <c r="D622" t="s">
        <v>21</v>
      </c>
      <c r="E622" t="s">
        <v>14</v>
      </c>
      <c r="F622" t="s">
        <v>58</v>
      </c>
      <c r="G622">
        <v>6.5</v>
      </c>
      <c r="H622" t="str">
        <f t="shared" si="101"/>
        <v>Heavy Use</v>
      </c>
      <c r="I622" t="s">
        <v>41</v>
      </c>
      <c r="J622" t="s">
        <v>18</v>
      </c>
      <c r="K622">
        <v>6.2</v>
      </c>
      <c r="L622" t="str">
        <f t="shared" si="102"/>
        <v>Severly Deficient Sleep</v>
      </c>
      <c r="M622">
        <v>5</v>
      </c>
      <c r="N622" t="str">
        <f t="shared" si="103"/>
        <v>Moderate</v>
      </c>
      <c r="O622" t="s">
        <v>28</v>
      </c>
      <c r="P622">
        <v>8</v>
      </c>
      <c r="Q622" t="str">
        <f>IF(P622&gt;=7,"High",IF(P622&gt;=6,"Medium","Low"))</f>
        <v>High</v>
      </c>
    </row>
    <row r="623" spans="1:17" hidden="1" x14ac:dyDescent="0.3">
      <c r="A623">
        <v>623</v>
      </c>
      <c r="B623">
        <v>22</v>
      </c>
      <c r="C623" t="str">
        <f t="shared" si="100"/>
        <v>Young Adult</v>
      </c>
      <c r="D623" t="s">
        <v>13</v>
      </c>
      <c r="E623" t="s">
        <v>22</v>
      </c>
      <c r="F623" t="s">
        <v>73</v>
      </c>
      <c r="G623">
        <v>4.5999999999999996</v>
      </c>
      <c r="H623" t="str">
        <f t="shared" si="101"/>
        <v>Moderate Use</v>
      </c>
      <c r="I623" t="s">
        <v>25</v>
      </c>
      <c r="J623" t="s">
        <v>26</v>
      </c>
      <c r="K623">
        <v>7.3</v>
      </c>
      <c r="L623" t="str">
        <f t="shared" si="102"/>
        <v>Sufficient Sleep</v>
      </c>
      <c r="M623">
        <v>7</v>
      </c>
      <c r="N623" t="str">
        <f t="shared" si="103"/>
        <v>Sever</v>
      </c>
      <c r="O623" t="s">
        <v>20</v>
      </c>
      <c r="P623">
        <v>5</v>
      </c>
      <c r="Q623" t="str">
        <f t="shared" si="109"/>
        <v>Medium</v>
      </c>
    </row>
    <row r="624" spans="1:17" hidden="1" x14ac:dyDescent="0.3">
      <c r="A624">
        <v>624</v>
      </c>
      <c r="B624">
        <v>19</v>
      </c>
      <c r="C624" t="str">
        <f t="shared" si="100"/>
        <v>Teenager</v>
      </c>
      <c r="D624" t="s">
        <v>21</v>
      </c>
      <c r="E624" t="s">
        <v>14</v>
      </c>
      <c r="F624" t="s">
        <v>91</v>
      </c>
      <c r="G624">
        <v>5.8</v>
      </c>
      <c r="H624" t="str">
        <f t="shared" si="101"/>
        <v>Moderate Use</v>
      </c>
      <c r="I624" t="s">
        <v>17</v>
      </c>
      <c r="J624" t="s">
        <v>18</v>
      </c>
      <c r="K624">
        <v>6.6</v>
      </c>
      <c r="L624" t="str">
        <f t="shared" si="102"/>
        <v>Severly Deficient Sleep</v>
      </c>
      <c r="M624">
        <v>6</v>
      </c>
      <c r="N624" t="str">
        <f t="shared" si="103"/>
        <v>Moderate</v>
      </c>
      <c r="O624" t="s">
        <v>28</v>
      </c>
      <c r="P624">
        <v>7</v>
      </c>
      <c r="Q624" t="str">
        <f t="shared" si="109"/>
        <v>High</v>
      </c>
    </row>
    <row r="625" spans="1:17" x14ac:dyDescent="0.3">
      <c r="A625">
        <v>625</v>
      </c>
      <c r="B625">
        <v>24</v>
      </c>
      <c r="C625" t="str">
        <f t="shared" si="100"/>
        <v>Young Adult</v>
      </c>
      <c r="D625" t="s">
        <v>13</v>
      </c>
      <c r="E625" t="s">
        <v>22</v>
      </c>
      <c r="F625" t="s">
        <v>23</v>
      </c>
      <c r="G625">
        <v>7</v>
      </c>
      <c r="H625" t="str">
        <f t="shared" si="101"/>
        <v>Heavy Use</v>
      </c>
      <c r="I625" t="s">
        <v>31</v>
      </c>
      <c r="J625" t="s">
        <v>18</v>
      </c>
      <c r="K625">
        <v>5.8</v>
      </c>
      <c r="L625" t="str">
        <f t="shared" si="102"/>
        <v>Severly Deficient Sleep</v>
      </c>
      <c r="M625">
        <v>4</v>
      </c>
      <c r="N625" t="str">
        <f t="shared" si="103"/>
        <v>Mild</v>
      </c>
      <c r="O625" t="s">
        <v>28</v>
      </c>
      <c r="P625">
        <v>9</v>
      </c>
      <c r="Q625" t="str">
        <f>IF(P625&gt;=7,"High",IF(P625&gt;=6,"Medium","Low"))</f>
        <v>High</v>
      </c>
    </row>
    <row r="626" spans="1:17" hidden="1" x14ac:dyDescent="0.3">
      <c r="A626">
        <v>626</v>
      </c>
      <c r="B626">
        <v>21</v>
      </c>
      <c r="C626" t="str">
        <f t="shared" si="100"/>
        <v>Young Adult</v>
      </c>
      <c r="D626" t="s">
        <v>21</v>
      </c>
      <c r="E626" t="s">
        <v>14</v>
      </c>
      <c r="F626" t="s">
        <v>81</v>
      </c>
      <c r="G626">
        <v>4.5</v>
      </c>
      <c r="H626" t="str">
        <f t="shared" si="101"/>
        <v>Moderate Use</v>
      </c>
      <c r="I626" t="s">
        <v>41</v>
      </c>
      <c r="J626" t="s">
        <v>26</v>
      </c>
      <c r="K626">
        <v>7.3</v>
      </c>
      <c r="L626" t="str">
        <f t="shared" si="102"/>
        <v>Sufficient Sleep</v>
      </c>
      <c r="M626">
        <v>7</v>
      </c>
      <c r="N626" t="str">
        <f t="shared" si="103"/>
        <v>Sever</v>
      </c>
      <c r="O626" t="s">
        <v>20</v>
      </c>
      <c r="P626">
        <v>5</v>
      </c>
      <c r="Q626" t="str">
        <f t="shared" si="109"/>
        <v>Medium</v>
      </c>
    </row>
    <row r="627" spans="1:17" hidden="1" x14ac:dyDescent="0.3">
      <c r="A627">
        <v>627</v>
      </c>
      <c r="B627">
        <v>23</v>
      </c>
      <c r="C627" t="str">
        <f t="shared" si="100"/>
        <v>Young Adult</v>
      </c>
      <c r="D627" t="s">
        <v>13</v>
      </c>
      <c r="E627" t="s">
        <v>22</v>
      </c>
      <c r="F627" t="s">
        <v>109</v>
      </c>
      <c r="G627">
        <v>6.7</v>
      </c>
      <c r="H627" t="str">
        <f t="shared" si="101"/>
        <v>Heavy Use</v>
      </c>
      <c r="I627" t="s">
        <v>17</v>
      </c>
      <c r="J627" t="s">
        <v>18</v>
      </c>
      <c r="K627">
        <v>6.1</v>
      </c>
      <c r="L627" t="str">
        <f t="shared" si="102"/>
        <v>Severly Deficient Sleep</v>
      </c>
      <c r="M627">
        <v>5</v>
      </c>
      <c r="N627" t="str">
        <f t="shared" si="103"/>
        <v>Moderate</v>
      </c>
      <c r="O627" t="s">
        <v>28</v>
      </c>
      <c r="P627">
        <v>8</v>
      </c>
      <c r="Q627" t="str">
        <f t="shared" si="109"/>
        <v>High</v>
      </c>
    </row>
    <row r="628" spans="1:17" x14ac:dyDescent="0.3">
      <c r="A628">
        <v>628</v>
      </c>
      <c r="B628">
        <v>20</v>
      </c>
      <c r="C628" t="str">
        <f t="shared" si="100"/>
        <v>Young Adult</v>
      </c>
      <c r="D628" t="s">
        <v>21</v>
      </c>
      <c r="E628" t="s">
        <v>14</v>
      </c>
      <c r="F628" t="s">
        <v>29</v>
      </c>
      <c r="G628">
        <v>5.5</v>
      </c>
      <c r="H628" t="str">
        <f t="shared" si="101"/>
        <v>Moderate Use</v>
      </c>
      <c r="I628" t="s">
        <v>25</v>
      </c>
      <c r="J628" t="s">
        <v>18</v>
      </c>
      <c r="K628">
        <v>6.8</v>
      </c>
      <c r="L628" t="str">
        <f t="shared" si="102"/>
        <v>Severly Deficient Sleep</v>
      </c>
      <c r="M628">
        <v>6</v>
      </c>
      <c r="N628" t="str">
        <f t="shared" si="103"/>
        <v>Moderate</v>
      </c>
      <c r="O628" t="s">
        <v>20</v>
      </c>
      <c r="P628">
        <v>7</v>
      </c>
      <c r="Q628" t="str">
        <f>IF(P628&gt;=7,"High",IF(P628&gt;=6,"Medium","Low"))</f>
        <v>High</v>
      </c>
    </row>
    <row r="629" spans="1:17" hidden="1" x14ac:dyDescent="0.3">
      <c r="A629">
        <v>629</v>
      </c>
      <c r="B629">
        <v>22</v>
      </c>
      <c r="C629" t="str">
        <f t="shared" si="100"/>
        <v>Young Adult</v>
      </c>
      <c r="D629" t="s">
        <v>13</v>
      </c>
      <c r="E629" t="s">
        <v>22</v>
      </c>
      <c r="F629" t="s">
        <v>62</v>
      </c>
      <c r="G629">
        <v>6.4</v>
      </c>
      <c r="H629" t="str">
        <f t="shared" si="101"/>
        <v>Heavy Use</v>
      </c>
      <c r="I629" t="s">
        <v>41</v>
      </c>
      <c r="J629" t="s">
        <v>18</v>
      </c>
      <c r="K629">
        <v>6.2</v>
      </c>
      <c r="L629" t="str">
        <f t="shared" si="102"/>
        <v>Severly Deficient Sleep</v>
      </c>
      <c r="M629">
        <v>5</v>
      </c>
      <c r="N629" t="str">
        <f t="shared" si="103"/>
        <v>Moderate</v>
      </c>
      <c r="O629" t="s">
        <v>28</v>
      </c>
      <c r="P629">
        <v>8</v>
      </c>
      <c r="Q629" t="str">
        <f t="shared" si="109"/>
        <v>High</v>
      </c>
    </row>
    <row r="630" spans="1:17" x14ac:dyDescent="0.3">
      <c r="A630">
        <v>630</v>
      </c>
      <c r="B630">
        <v>19</v>
      </c>
      <c r="C630" t="str">
        <f t="shared" si="100"/>
        <v>Teenager</v>
      </c>
      <c r="D630" t="s">
        <v>21</v>
      </c>
      <c r="E630" t="s">
        <v>14</v>
      </c>
      <c r="F630" t="s">
        <v>55</v>
      </c>
      <c r="G630">
        <v>4.7</v>
      </c>
      <c r="H630" t="str">
        <f t="shared" si="101"/>
        <v>Moderate Use</v>
      </c>
      <c r="I630" t="s">
        <v>17</v>
      </c>
      <c r="J630" t="s">
        <v>26</v>
      </c>
      <c r="K630">
        <v>7.2</v>
      </c>
      <c r="L630" t="str">
        <f t="shared" si="102"/>
        <v>Sufficient Sleep</v>
      </c>
      <c r="M630">
        <v>7</v>
      </c>
      <c r="N630" t="str">
        <f t="shared" si="103"/>
        <v>Sever</v>
      </c>
      <c r="O630" t="s">
        <v>20</v>
      </c>
      <c r="P630">
        <v>5</v>
      </c>
      <c r="Q630" t="str">
        <f t="shared" ref="Q630:Q631" si="110">IF(P630&gt;=7,"High",IF(P630&gt;=6,"Medium","Low"))</f>
        <v>Low</v>
      </c>
    </row>
    <row r="631" spans="1:17" x14ac:dyDescent="0.3">
      <c r="A631">
        <v>631</v>
      </c>
      <c r="B631">
        <v>24</v>
      </c>
      <c r="C631" t="str">
        <f t="shared" si="100"/>
        <v>Young Adult</v>
      </c>
      <c r="D631" t="s">
        <v>13</v>
      </c>
      <c r="E631" t="s">
        <v>22</v>
      </c>
      <c r="F631" t="s">
        <v>39</v>
      </c>
      <c r="G631">
        <v>5.6</v>
      </c>
      <c r="H631" t="str">
        <f t="shared" si="101"/>
        <v>Moderate Use</v>
      </c>
      <c r="I631" t="s">
        <v>31</v>
      </c>
      <c r="J631" t="s">
        <v>18</v>
      </c>
      <c r="K631">
        <v>6.7</v>
      </c>
      <c r="L631" t="str">
        <f t="shared" si="102"/>
        <v>Severly Deficient Sleep</v>
      </c>
      <c r="M631">
        <v>6</v>
      </c>
      <c r="N631" t="str">
        <f t="shared" si="103"/>
        <v>Moderate</v>
      </c>
      <c r="O631" t="s">
        <v>28</v>
      </c>
      <c r="P631">
        <v>7</v>
      </c>
      <c r="Q631" t="str">
        <f t="shared" si="110"/>
        <v>High</v>
      </c>
    </row>
    <row r="632" spans="1:17" hidden="1" x14ac:dyDescent="0.3">
      <c r="A632">
        <v>632</v>
      </c>
      <c r="B632">
        <v>21</v>
      </c>
      <c r="C632" t="str">
        <f t="shared" si="100"/>
        <v>Young Adult</v>
      </c>
      <c r="D632" t="s">
        <v>21</v>
      </c>
      <c r="E632" t="s">
        <v>14</v>
      </c>
      <c r="F632" t="s">
        <v>35</v>
      </c>
      <c r="G632">
        <v>6.2</v>
      </c>
      <c r="H632" t="str">
        <f t="shared" si="101"/>
        <v>Heavy Use</v>
      </c>
      <c r="I632" t="s">
        <v>41</v>
      </c>
      <c r="J632" t="s">
        <v>18</v>
      </c>
      <c r="K632">
        <v>6.3</v>
      </c>
      <c r="L632" t="str">
        <f t="shared" si="102"/>
        <v>Severly Deficient Sleep</v>
      </c>
      <c r="M632">
        <v>5</v>
      </c>
      <c r="N632" t="str">
        <f t="shared" si="103"/>
        <v>Moderate</v>
      </c>
      <c r="O632" t="s">
        <v>28</v>
      </c>
      <c r="P632">
        <v>8</v>
      </c>
      <c r="Q632" t="str">
        <f t="shared" si="109"/>
        <v>High</v>
      </c>
    </row>
    <row r="633" spans="1:17" hidden="1" x14ac:dyDescent="0.3">
      <c r="A633">
        <v>633</v>
      </c>
      <c r="B633">
        <v>23</v>
      </c>
      <c r="C633" t="str">
        <f t="shared" si="100"/>
        <v>Young Adult</v>
      </c>
      <c r="D633" t="s">
        <v>13</v>
      </c>
      <c r="E633" t="s">
        <v>22</v>
      </c>
      <c r="F633" t="s">
        <v>60</v>
      </c>
      <c r="G633">
        <v>4.8</v>
      </c>
      <c r="H633" t="str">
        <f t="shared" si="101"/>
        <v>Moderate Use</v>
      </c>
      <c r="I633" t="s">
        <v>25</v>
      </c>
      <c r="J633" t="s">
        <v>26</v>
      </c>
      <c r="K633">
        <v>7.1</v>
      </c>
      <c r="L633" t="str">
        <f t="shared" si="102"/>
        <v>Sufficient Sleep</v>
      </c>
      <c r="M633">
        <v>7</v>
      </c>
      <c r="N633" t="str">
        <f t="shared" si="103"/>
        <v>Sever</v>
      </c>
      <c r="O633" t="s">
        <v>20</v>
      </c>
      <c r="P633">
        <v>5</v>
      </c>
      <c r="Q633" t="str">
        <f t="shared" si="109"/>
        <v>Medium</v>
      </c>
    </row>
    <row r="634" spans="1:17" hidden="1" x14ac:dyDescent="0.3">
      <c r="A634">
        <v>634</v>
      </c>
      <c r="B634">
        <v>20</v>
      </c>
      <c r="C634" t="str">
        <f t="shared" si="100"/>
        <v>Young Adult</v>
      </c>
      <c r="D634" t="s">
        <v>21</v>
      </c>
      <c r="E634" t="s">
        <v>14</v>
      </c>
      <c r="F634" t="s">
        <v>63</v>
      </c>
      <c r="G634">
        <v>6.9</v>
      </c>
      <c r="H634" t="str">
        <f t="shared" si="101"/>
        <v>Heavy Use</v>
      </c>
      <c r="I634" t="s">
        <v>17</v>
      </c>
      <c r="J634" t="s">
        <v>18</v>
      </c>
      <c r="K634">
        <v>5.9</v>
      </c>
      <c r="L634" t="str">
        <f t="shared" si="102"/>
        <v>Severly Deficient Sleep</v>
      </c>
      <c r="M634">
        <v>4</v>
      </c>
      <c r="N634" t="str">
        <f t="shared" si="103"/>
        <v>Mild</v>
      </c>
      <c r="O634" t="s">
        <v>28</v>
      </c>
      <c r="P634">
        <v>9</v>
      </c>
      <c r="Q634" t="str">
        <f t="shared" si="109"/>
        <v>High</v>
      </c>
    </row>
    <row r="635" spans="1:17" hidden="1" x14ac:dyDescent="0.3">
      <c r="A635">
        <v>635</v>
      </c>
      <c r="B635">
        <v>22</v>
      </c>
      <c r="C635" t="str">
        <f t="shared" si="100"/>
        <v>Young Adult</v>
      </c>
      <c r="D635" t="s">
        <v>13</v>
      </c>
      <c r="E635" t="s">
        <v>22</v>
      </c>
      <c r="F635" t="s">
        <v>66</v>
      </c>
      <c r="G635">
        <v>5.7</v>
      </c>
      <c r="H635" t="str">
        <f t="shared" si="101"/>
        <v>Moderate Use</v>
      </c>
      <c r="I635" t="s">
        <v>222</v>
      </c>
      <c r="J635" t="s">
        <v>18</v>
      </c>
      <c r="K635">
        <v>6.7</v>
      </c>
      <c r="L635" t="str">
        <f t="shared" si="102"/>
        <v>Severly Deficient Sleep</v>
      </c>
      <c r="M635">
        <v>6</v>
      </c>
      <c r="N635" t="str">
        <f t="shared" si="103"/>
        <v>Moderate</v>
      </c>
      <c r="O635" t="s">
        <v>20</v>
      </c>
      <c r="Q635">
        <v>7</v>
      </c>
    </row>
    <row r="636" spans="1:17" hidden="1" x14ac:dyDescent="0.3">
      <c r="A636">
        <v>636</v>
      </c>
      <c r="B636">
        <v>19</v>
      </c>
      <c r="C636" t="str">
        <f t="shared" si="100"/>
        <v>Teenager</v>
      </c>
      <c r="D636" t="s">
        <v>21</v>
      </c>
      <c r="E636" t="s">
        <v>14</v>
      </c>
      <c r="F636" t="s">
        <v>51</v>
      </c>
      <c r="G636">
        <v>4.4000000000000004</v>
      </c>
      <c r="H636" t="str">
        <f t="shared" si="101"/>
        <v>Moderate Use</v>
      </c>
      <c r="I636" t="s">
        <v>25</v>
      </c>
      <c r="J636" t="s">
        <v>26</v>
      </c>
      <c r="K636">
        <v>7.4</v>
      </c>
      <c r="L636" t="str">
        <f t="shared" si="102"/>
        <v>Sufficient Sleep</v>
      </c>
      <c r="M636">
        <v>8</v>
      </c>
      <c r="N636" t="str">
        <f t="shared" si="103"/>
        <v>Sever</v>
      </c>
      <c r="O636" t="s">
        <v>28</v>
      </c>
      <c r="P636">
        <v>4</v>
      </c>
      <c r="Q636" t="str">
        <f t="shared" ref="Q636:Q651" si="111">IF(P636&gt;=7,"High",IF(P636&gt;=5,"Medium","Low"))</f>
        <v>Low</v>
      </c>
    </row>
    <row r="637" spans="1:17" hidden="1" x14ac:dyDescent="0.3">
      <c r="A637">
        <v>637</v>
      </c>
      <c r="B637">
        <v>24</v>
      </c>
      <c r="C637" t="str">
        <f t="shared" si="100"/>
        <v>Young Adult</v>
      </c>
      <c r="D637" t="s">
        <v>13</v>
      </c>
      <c r="E637" t="s">
        <v>22</v>
      </c>
      <c r="F637" t="s">
        <v>145</v>
      </c>
      <c r="G637">
        <v>6.1</v>
      </c>
      <c r="H637" t="str">
        <f t="shared" si="101"/>
        <v>Heavy Use</v>
      </c>
      <c r="I637" t="s">
        <v>31</v>
      </c>
      <c r="J637" t="s">
        <v>18</v>
      </c>
      <c r="K637">
        <v>6.4</v>
      </c>
      <c r="L637" t="str">
        <f t="shared" si="102"/>
        <v>Severly Deficient Sleep</v>
      </c>
      <c r="M637">
        <v>5</v>
      </c>
      <c r="N637" t="str">
        <f t="shared" si="103"/>
        <v>Moderate</v>
      </c>
      <c r="O637" t="s">
        <v>28</v>
      </c>
      <c r="P637">
        <v>8</v>
      </c>
      <c r="Q637" t="str">
        <f t="shared" si="111"/>
        <v>High</v>
      </c>
    </row>
    <row r="638" spans="1:17" hidden="1" x14ac:dyDescent="0.3">
      <c r="A638">
        <v>638</v>
      </c>
      <c r="B638">
        <v>21</v>
      </c>
      <c r="C638" t="str">
        <f t="shared" si="100"/>
        <v>Young Adult</v>
      </c>
      <c r="D638" t="s">
        <v>21</v>
      </c>
      <c r="E638" t="s">
        <v>14</v>
      </c>
      <c r="F638" t="s">
        <v>144</v>
      </c>
      <c r="G638">
        <v>4.3</v>
      </c>
      <c r="H638" t="str">
        <f t="shared" si="101"/>
        <v>Moderate Use</v>
      </c>
      <c r="I638" t="s">
        <v>17</v>
      </c>
      <c r="J638" t="s">
        <v>26</v>
      </c>
      <c r="K638">
        <v>7.5</v>
      </c>
      <c r="L638" t="str">
        <f t="shared" si="102"/>
        <v>Sufficient Sleep</v>
      </c>
      <c r="M638">
        <v>7</v>
      </c>
      <c r="N638" t="str">
        <f t="shared" si="103"/>
        <v>Sever</v>
      </c>
      <c r="O638" t="s">
        <v>20</v>
      </c>
      <c r="P638">
        <v>5</v>
      </c>
      <c r="Q638" t="str">
        <f t="shared" si="111"/>
        <v>Medium</v>
      </c>
    </row>
    <row r="639" spans="1:17" x14ac:dyDescent="0.3">
      <c r="A639">
        <v>639</v>
      </c>
      <c r="B639">
        <v>23</v>
      </c>
      <c r="C639" t="str">
        <f t="shared" si="100"/>
        <v>Young Adult</v>
      </c>
      <c r="D639" t="s">
        <v>13</v>
      </c>
      <c r="E639" t="s">
        <v>22</v>
      </c>
      <c r="F639" t="s">
        <v>58</v>
      </c>
      <c r="G639">
        <v>6.4</v>
      </c>
      <c r="H639" t="str">
        <f t="shared" si="101"/>
        <v>Heavy Use</v>
      </c>
      <c r="I639" t="s">
        <v>41</v>
      </c>
      <c r="J639" t="s">
        <v>18</v>
      </c>
      <c r="K639">
        <v>6.2</v>
      </c>
      <c r="L639" t="str">
        <f t="shared" si="102"/>
        <v>Severly Deficient Sleep</v>
      </c>
      <c r="M639">
        <v>5</v>
      </c>
      <c r="N639" t="str">
        <f t="shared" si="103"/>
        <v>Moderate</v>
      </c>
      <c r="O639" t="s">
        <v>28</v>
      </c>
      <c r="P639">
        <v>8</v>
      </c>
      <c r="Q639" t="str">
        <f>IF(P639&gt;=7,"High",IF(P639&gt;=6,"Medium","Low"))</f>
        <v>High</v>
      </c>
    </row>
    <row r="640" spans="1:17" hidden="1" x14ac:dyDescent="0.3">
      <c r="A640">
        <v>640</v>
      </c>
      <c r="B640">
        <v>20</v>
      </c>
      <c r="C640" t="str">
        <f t="shared" si="100"/>
        <v>Young Adult</v>
      </c>
      <c r="D640" t="s">
        <v>21</v>
      </c>
      <c r="E640" t="s">
        <v>14</v>
      </c>
      <c r="F640" t="s">
        <v>73</v>
      </c>
      <c r="G640">
        <v>4.5</v>
      </c>
      <c r="H640" t="str">
        <f t="shared" si="101"/>
        <v>Moderate Use</v>
      </c>
      <c r="I640" t="s">
        <v>25</v>
      </c>
      <c r="J640" t="s">
        <v>26</v>
      </c>
      <c r="K640">
        <v>7.3</v>
      </c>
      <c r="L640" t="str">
        <f t="shared" si="102"/>
        <v>Sufficient Sleep</v>
      </c>
      <c r="M640">
        <v>7</v>
      </c>
      <c r="N640" t="str">
        <f t="shared" si="103"/>
        <v>Sever</v>
      </c>
      <c r="O640" t="s">
        <v>20</v>
      </c>
      <c r="P640">
        <v>5</v>
      </c>
      <c r="Q640" t="str">
        <f t="shared" si="111"/>
        <v>Medium</v>
      </c>
    </row>
    <row r="641" spans="1:17" hidden="1" x14ac:dyDescent="0.3">
      <c r="A641">
        <v>641</v>
      </c>
      <c r="B641">
        <v>22</v>
      </c>
      <c r="C641" t="str">
        <f t="shared" ref="C641:C704" si="112">IF(B641&gt;=20,"Young Adult","Teenager")</f>
        <v>Young Adult</v>
      </c>
      <c r="D641" t="s">
        <v>13</v>
      </c>
      <c r="E641" t="s">
        <v>22</v>
      </c>
      <c r="F641" t="s">
        <v>91</v>
      </c>
      <c r="G641">
        <v>5.9</v>
      </c>
      <c r="H641" t="str">
        <f t="shared" ref="H641:H704" si="113">IF(G641&gt;=6,"Heavy Use",IF(G641&gt;=4,"Moderate Use","Low Use"))</f>
        <v>Moderate Use</v>
      </c>
      <c r="I641" t="s">
        <v>17</v>
      </c>
      <c r="J641" t="s">
        <v>18</v>
      </c>
      <c r="K641">
        <v>6.5</v>
      </c>
      <c r="L641" t="str">
        <f t="shared" ref="L641:L704" si="114">IF(K641&gt;=9,"Excessive Sleep",IF(K641&gt;=7,"Sufficient Sleep","Severly Deficient Sleep"))</f>
        <v>Severly Deficient Sleep</v>
      </c>
      <c r="M641">
        <v>6</v>
      </c>
      <c r="N641" t="str">
        <f t="shared" ref="N641:N704" si="115">IF(M641&gt;=7,"Sever",IF(M641&lt;=4,"Mild","Moderate"))</f>
        <v>Moderate</v>
      </c>
      <c r="O641" t="s">
        <v>28</v>
      </c>
      <c r="P641">
        <v>7</v>
      </c>
      <c r="Q641" t="str">
        <f t="shared" si="111"/>
        <v>High</v>
      </c>
    </row>
    <row r="642" spans="1:17" x14ac:dyDescent="0.3">
      <c r="A642">
        <v>642</v>
      </c>
      <c r="B642">
        <v>19</v>
      </c>
      <c r="C642" t="str">
        <f t="shared" si="112"/>
        <v>Teenager</v>
      </c>
      <c r="D642" t="s">
        <v>21</v>
      </c>
      <c r="E642" t="s">
        <v>14</v>
      </c>
      <c r="F642" t="s">
        <v>23</v>
      </c>
      <c r="G642">
        <v>7.2</v>
      </c>
      <c r="H642" t="str">
        <f t="shared" si="113"/>
        <v>Heavy Use</v>
      </c>
      <c r="I642" t="s">
        <v>31</v>
      </c>
      <c r="J642" t="s">
        <v>18</v>
      </c>
      <c r="K642">
        <v>5.7</v>
      </c>
      <c r="L642" t="str">
        <f t="shared" si="114"/>
        <v>Severly Deficient Sleep</v>
      </c>
      <c r="M642">
        <v>4</v>
      </c>
      <c r="N642" t="str">
        <f t="shared" si="115"/>
        <v>Mild</v>
      </c>
      <c r="O642" t="s">
        <v>28</v>
      </c>
      <c r="P642">
        <v>9</v>
      </c>
      <c r="Q642" t="str">
        <f>IF(P642&gt;=7,"High",IF(P642&gt;=6,"Medium","Low"))</f>
        <v>High</v>
      </c>
    </row>
    <row r="643" spans="1:17" hidden="1" x14ac:dyDescent="0.3">
      <c r="A643">
        <v>643</v>
      </c>
      <c r="B643">
        <v>24</v>
      </c>
      <c r="C643" t="str">
        <f t="shared" si="112"/>
        <v>Young Adult</v>
      </c>
      <c r="D643" t="s">
        <v>13</v>
      </c>
      <c r="E643" t="s">
        <v>22</v>
      </c>
      <c r="F643" t="s">
        <v>81</v>
      </c>
      <c r="G643">
        <v>4.5999999999999996</v>
      </c>
      <c r="H643" t="str">
        <f t="shared" si="113"/>
        <v>Moderate Use</v>
      </c>
      <c r="I643" t="s">
        <v>41</v>
      </c>
      <c r="J643" t="s">
        <v>26</v>
      </c>
      <c r="K643">
        <v>7.2</v>
      </c>
      <c r="L643" t="str">
        <f t="shared" si="114"/>
        <v>Sufficient Sleep</v>
      </c>
      <c r="M643">
        <v>7</v>
      </c>
      <c r="N643" t="str">
        <f t="shared" si="115"/>
        <v>Sever</v>
      </c>
      <c r="O643" t="s">
        <v>20</v>
      </c>
      <c r="P643">
        <v>5</v>
      </c>
      <c r="Q643" t="str">
        <f t="shared" si="111"/>
        <v>Medium</v>
      </c>
    </row>
    <row r="644" spans="1:17" hidden="1" x14ac:dyDescent="0.3">
      <c r="A644">
        <v>644</v>
      </c>
      <c r="B644">
        <v>21</v>
      </c>
      <c r="C644" t="str">
        <f t="shared" si="112"/>
        <v>Young Adult</v>
      </c>
      <c r="D644" t="s">
        <v>21</v>
      </c>
      <c r="E644" t="s">
        <v>14</v>
      </c>
      <c r="F644" t="s">
        <v>109</v>
      </c>
      <c r="G644">
        <v>6.8</v>
      </c>
      <c r="H644" t="str">
        <f t="shared" si="113"/>
        <v>Heavy Use</v>
      </c>
      <c r="I644" t="s">
        <v>17</v>
      </c>
      <c r="J644" t="s">
        <v>18</v>
      </c>
      <c r="K644">
        <v>6</v>
      </c>
      <c r="L644" t="str">
        <f t="shared" si="114"/>
        <v>Severly Deficient Sleep</v>
      </c>
      <c r="M644">
        <v>5</v>
      </c>
      <c r="N644" t="str">
        <f t="shared" si="115"/>
        <v>Moderate</v>
      </c>
      <c r="O644" t="s">
        <v>28</v>
      </c>
      <c r="P644">
        <v>8</v>
      </c>
      <c r="Q644" t="str">
        <f t="shared" si="111"/>
        <v>High</v>
      </c>
    </row>
    <row r="645" spans="1:17" x14ac:dyDescent="0.3">
      <c r="A645">
        <v>645</v>
      </c>
      <c r="B645">
        <v>23</v>
      </c>
      <c r="C645" t="str">
        <f t="shared" si="112"/>
        <v>Young Adult</v>
      </c>
      <c r="D645" t="s">
        <v>13</v>
      </c>
      <c r="E645" t="s">
        <v>22</v>
      </c>
      <c r="F645" t="s">
        <v>29</v>
      </c>
      <c r="G645">
        <v>5.3</v>
      </c>
      <c r="H645" t="str">
        <f t="shared" si="113"/>
        <v>Moderate Use</v>
      </c>
      <c r="I645" t="s">
        <v>25</v>
      </c>
      <c r="J645" t="s">
        <v>18</v>
      </c>
      <c r="K645">
        <v>6.8</v>
      </c>
      <c r="L645" t="str">
        <f t="shared" si="114"/>
        <v>Severly Deficient Sleep</v>
      </c>
      <c r="M645">
        <v>6</v>
      </c>
      <c r="N645" t="str">
        <f t="shared" si="115"/>
        <v>Moderate</v>
      </c>
      <c r="O645" t="s">
        <v>20</v>
      </c>
      <c r="P645">
        <v>7</v>
      </c>
      <c r="Q645" t="str">
        <f>IF(P645&gt;=7,"High",IF(P645&gt;=6,"Medium","Low"))</f>
        <v>High</v>
      </c>
    </row>
    <row r="646" spans="1:17" hidden="1" x14ac:dyDescent="0.3">
      <c r="A646">
        <v>646</v>
      </c>
      <c r="B646">
        <v>22</v>
      </c>
      <c r="C646" t="str">
        <f t="shared" si="112"/>
        <v>Young Adult</v>
      </c>
      <c r="D646" t="s">
        <v>21</v>
      </c>
      <c r="E646" t="s">
        <v>22</v>
      </c>
      <c r="F646" t="s">
        <v>62</v>
      </c>
      <c r="G646">
        <v>6.3</v>
      </c>
      <c r="H646" t="str">
        <f t="shared" si="113"/>
        <v>Heavy Use</v>
      </c>
      <c r="I646" t="s">
        <v>41</v>
      </c>
      <c r="J646" t="s">
        <v>18</v>
      </c>
      <c r="K646">
        <v>6.2</v>
      </c>
      <c r="L646" t="str">
        <f t="shared" si="114"/>
        <v>Severly Deficient Sleep</v>
      </c>
      <c r="M646">
        <v>5</v>
      </c>
      <c r="N646" t="str">
        <f t="shared" si="115"/>
        <v>Moderate</v>
      </c>
      <c r="O646" t="s">
        <v>28</v>
      </c>
      <c r="P646">
        <v>8</v>
      </c>
      <c r="Q646" t="str">
        <f t="shared" si="111"/>
        <v>High</v>
      </c>
    </row>
    <row r="647" spans="1:17" x14ac:dyDescent="0.3">
      <c r="A647">
        <v>647</v>
      </c>
      <c r="B647">
        <v>20</v>
      </c>
      <c r="C647" t="str">
        <f t="shared" si="112"/>
        <v>Young Adult</v>
      </c>
      <c r="D647" t="s">
        <v>13</v>
      </c>
      <c r="E647" t="s">
        <v>14</v>
      </c>
      <c r="F647" t="s">
        <v>55</v>
      </c>
      <c r="G647">
        <v>4.8</v>
      </c>
      <c r="H647" t="str">
        <f t="shared" si="113"/>
        <v>Moderate Use</v>
      </c>
      <c r="I647" t="s">
        <v>17</v>
      </c>
      <c r="J647" t="s">
        <v>26</v>
      </c>
      <c r="K647">
        <v>7.1</v>
      </c>
      <c r="L647" t="str">
        <f t="shared" si="114"/>
        <v>Sufficient Sleep</v>
      </c>
      <c r="M647">
        <v>7</v>
      </c>
      <c r="N647" t="str">
        <f t="shared" si="115"/>
        <v>Sever</v>
      </c>
      <c r="O647" t="s">
        <v>20</v>
      </c>
      <c r="P647">
        <v>5</v>
      </c>
      <c r="Q647" t="str">
        <f t="shared" ref="Q647:Q648" si="116">IF(P647&gt;=7,"High",IF(P647&gt;=6,"Medium","Low"))</f>
        <v>Low</v>
      </c>
    </row>
    <row r="648" spans="1:17" x14ac:dyDescent="0.3">
      <c r="A648">
        <v>648</v>
      </c>
      <c r="B648">
        <v>23</v>
      </c>
      <c r="C648" t="str">
        <f t="shared" si="112"/>
        <v>Young Adult</v>
      </c>
      <c r="D648" t="s">
        <v>21</v>
      </c>
      <c r="E648" t="s">
        <v>22</v>
      </c>
      <c r="F648" t="s">
        <v>39</v>
      </c>
      <c r="G648">
        <v>5.7</v>
      </c>
      <c r="H648" t="str">
        <f t="shared" si="113"/>
        <v>Moderate Use</v>
      </c>
      <c r="I648" t="s">
        <v>31</v>
      </c>
      <c r="J648" t="s">
        <v>18</v>
      </c>
      <c r="K648">
        <v>6.6</v>
      </c>
      <c r="L648" t="str">
        <f t="shared" si="114"/>
        <v>Severly Deficient Sleep</v>
      </c>
      <c r="M648">
        <v>6</v>
      </c>
      <c r="N648" t="str">
        <f t="shared" si="115"/>
        <v>Moderate</v>
      </c>
      <c r="O648" t="s">
        <v>28</v>
      </c>
      <c r="P648">
        <v>7</v>
      </c>
      <c r="Q648" t="str">
        <f t="shared" si="116"/>
        <v>High</v>
      </c>
    </row>
    <row r="649" spans="1:17" hidden="1" x14ac:dyDescent="0.3">
      <c r="A649">
        <v>649</v>
      </c>
      <c r="B649">
        <v>21</v>
      </c>
      <c r="C649" t="str">
        <f t="shared" si="112"/>
        <v>Young Adult</v>
      </c>
      <c r="D649" t="s">
        <v>13</v>
      </c>
      <c r="E649" t="s">
        <v>14</v>
      </c>
      <c r="F649" t="s">
        <v>35</v>
      </c>
      <c r="G649">
        <v>6.2</v>
      </c>
      <c r="H649" t="str">
        <f t="shared" si="113"/>
        <v>Heavy Use</v>
      </c>
      <c r="I649" t="s">
        <v>25</v>
      </c>
      <c r="J649" t="s">
        <v>18</v>
      </c>
      <c r="K649">
        <v>6.3</v>
      </c>
      <c r="L649" t="str">
        <f t="shared" si="114"/>
        <v>Severly Deficient Sleep</v>
      </c>
      <c r="M649">
        <v>5</v>
      </c>
      <c r="N649" t="str">
        <f t="shared" si="115"/>
        <v>Moderate</v>
      </c>
      <c r="O649" t="s">
        <v>28</v>
      </c>
      <c r="P649">
        <v>8</v>
      </c>
      <c r="Q649" t="str">
        <f t="shared" si="111"/>
        <v>High</v>
      </c>
    </row>
    <row r="650" spans="1:17" hidden="1" x14ac:dyDescent="0.3">
      <c r="A650">
        <v>650</v>
      </c>
      <c r="B650">
        <v>24</v>
      </c>
      <c r="C650" t="str">
        <f t="shared" si="112"/>
        <v>Young Adult</v>
      </c>
      <c r="D650" t="s">
        <v>21</v>
      </c>
      <c r="E650" t="s">
        <v>22</v>
      </c>
      <c r="F650" t="s">
        <v>60</v>
      </c>
      <c r="G650">
        <v>4.7</v>
      </c>
      <c r="H650" t="str">
        <f t="shared" si="113"/>
        <v>Moderate Use</v>
      </c>
      <c r="I650" t="s">
        <v>41</v>
      </c>
      <c r="J650" t="s">
        <v>26</v>
      </c>
      <c r="K650">
        <v>7.2</v>
      </c>
      <c r="L650" t="str">
        <f t="shared" si="114"/>
        <v>Sufficient Sleep</v>
      </c>
      <c r="M650">
        <v>7</v>
      </c>
      <c r="N650" t="str">
        <f t="shared" si="115"/>
        <v>Sever</v>
      </c>
      <c r="O650" t="s">
        <v>20</v>
      </c>
      <c r="P650">
        <v>5</v>
      </c>
      <c r="Q650" t="str">
        <f t="shared" si="111"/>
        <v>Medium</v>
      </c>
    </row>
    <row r="651" spans="1:17" hidden="1" x14ac:dyDescent="0.3">
      <c r="A651">
        <v>651</v>
      </c>
      <c r="B651">
        <v>19</v>
      </c>
      <c r="C651" t="str">
        <f t="shared" si="112"/>
        <v>Teenager</v>
      </c>
      <c r="D651" t="s">
        <v>13</v>
      </c>
      <c r="E651" t="s">
        <v>14</v>
      </c>
      <c r="F651" t="s">
        <v>63</v>
      </c>
      <c r="G651">
        <v>6.8</v>
      </c>
      <c r="H651" t="str">
        <f t="shared" si="113"/>
        <v>Heavy Use</v>
      </c>
      <c r="I651" t="s">
        <v>17</v>
      </c>
      <c r="J651" t="s">
        <v>18</v>
      </c>
      <c r="K651">
        <v>5.9</v>
      </c>
      <c r="L651" t="str">
        <f t="shared" si="114"/>
        <v>Severly Deficient Sleep</v>
      </c>
      <c r="M651">
        <v>4</v>
      </c>
      <c r="N651" t="str">
        <f t="shared" si="115"/>
        <v>Mild</v>
      </c>
      <c r="O651" t="s">
        <v>28</v>
      </c>
      <c r="P651">
        <v>9</v>
      </c>
      <c r="Q651" t="str">
        <f t="shared" si="111"/>
        <v>High</v>
      </c>
    </row>
    <row r="652" spans="1:17" hidden="1" x14ac:dyDescent="0.3">
      <c r="A652">
        <v>652</v>
      </c>
      <c r="B652">
        <v>22</v>
      </c>
      <c r="C652" t="str">
        <f t="shared" si="112"/>
        <v>Young Adult</v>
      </c>
      <c r="D652" t="s">
        <v>21</v>
      </c>
      <c r="E652" t="s">
        <v>22</v>
      </c>
      <c r="F652" t="s">
        <v>66</v>
      </c>
      <c r="G652">
        <v>5.6</v>
      </c>
      <c r="H652" t="str">
        <f t="shared" si="113"/>
        <v>Moderate Use</v>
      </c>
      <c r="I652" t="s">
        <v>222</v>
      </c>
      <c r="J652" t="s">
        <v>18</v>
      </c>
      <c r="K652">
        <v>6.7</v>
      </c>
      <c r="L652" t="str">
        <f t="shared" si="114"/>
        <v>Severly Deficient Sleep</v>
      </c>
      <c r="M652">
        <v>6</v>
      </c>
      <c r="N652" t="str">
        <f t="shared" si="115"/>
        <v>Moderate</v>
      </c>
      <c r="O652" t="s">
        <v>20</v>
      </c>
      <c r="Q652">
        <v>7</v>
      </c>
    </row>
    <row r="653" spans="1:17" hidden="1" x14ac:dyDescent="0.3">
      <c r="A653">
        <v>653</v>
      </c>
      <c r="B653">
        <v>20</v>
      </c>
      <c r="C653" t="str">
        <f t="shared" si="112"/>
        <v>Young Adult</v>
      </c>
      <c r="D653" t="s">
        <v>13</v>
      </c>
      <c r="E653" t="s">
        <v>14</v>
      </c>
      <c r="F653" t="s">
        <v>51</v>
      </c>
      <c r="G653">
        <v>4.3</v>
      </c>
      <c r="H653" t="str">
        <f t="shared" si="113"/>
        <v>Moderate Use</v>
      </c>
      <c r="I653" t="s">
        <v>25</v>
      </c>
      <c r="J653" t="s">
        <v>26</v>
      </c>
      <c r="K653">
        <v>7.5</v>
      </c>
      <c r="L653" t="str">
        <f t="shared" si="114"/>
        <v>Sufficient Sleep</v>
      </c>
      <c r="M653">
        <v>8</v>
      </c>
      <c r="N653" t="str">
        <f t="shared" si="115"/>
        <v>Sever</v>
      </c>
      <c r="O653" t="s">
        <v>28</v>
      </c>
      <c r="P653">
        <v>4</v>
      </c>
      <c r="Q653" t="str">
        <f t="shared" ref="Q653:Q668" si="117">IF(P653&gt;=7,"High",IF(P653&gt;=5,"Medium","Low"))</f>
        <v>Low</v>
      </c>
    </row>
    <row r="654" spans="1:17" hidden="1" x14ac:dyDescent="0.3">
      <c r="A654">
        <v>654</v>
      </c>
      <c r="B654">
        <v>23</v>
      </c>
      <c r="C654" t="str">
        <f t="shared" si="112"/>
        <v>Young Adult</v>
      </c>
      <c r="D654" t="s">
        <v>21</v>
      </c>
      <c r="E654" t="s">
        <v>22</v>
      </c>
      <c r="F654" t="s">
        <v>145</v>
      </c>
      <c r="G654">
        <v>6.2</v>
      </c>
      <c r="H654" t="str">
        <f t="shared" si="113"/>
        <v>Heavy Use</v>
      </c>
      <c r="I654" t="s">
        <v>31</v>
      </c>
      <c r="J654" t="s">
        <v>18</v>
      </c>
      <c r="K654">
        <v>6.3</v>
      </c>
      <c r="L654" t="str">
        <f t="shared" si="114"/>
        <v>Severly Deficient Sleep</v>
      </c>
      <c r="M654">
        <v>5</v>
      </c>
      <c r="N654" t="str">
        <f t="shared" si="115"/>
        <v>Moderate</v>
      </c>
      <c r="O654" t="s">
        <v>28</v>
      </c>
      <c r="P654">
        <v>8</v>
      </c>
      <c r="Q654" t="str">
        <f t="shared" si="117"/>
        <v>High</v>
      </c>
    </row>
    <row r="655" spans="1:17" hidden="1" x14ac:dyDescent="0.3">
      <c r="A655">
        <v>655</v>
      </c>
      <c r="B655">
        <v>21</v>
      </c>
      <c r="C655" t="str">
        <f t="shared" si="112"/>
        <v>Young Adult</v>
      </c>
      <c r="D655" t="s">
        <v>13</v>
      </c>
      <c r="E655" t="s">
        <v>14</v>
      </c>
      <c r="F655" t="s">
        <v>144</v>
      </c>
      <c r="G655">
        <v>4.4000000000000004</v>
      </c>
      <c r="H655" t="str">
        <f t="shared" si="113"/>
        <v>Moderate Use</v>
      </c>
      <c r="I655" t="s">
        <v>17</v>
      </c>
      <c r="J655" t="s">
        <v>26</v>
      </c>
      <c r="K655">
        <v>7.4</v>
      </c>
      <c r="L655" t="str">
        <f t="shared" si="114"/>
        <v>Sufficient Sleep</v>
      </c>
      <c r="M655">
        <v>7</v>
      </c>
      <c r="N655" t="str">
        <f t="shared" si="115"/>
        <v>Sever</v>
      </c>
      <c r="O655" t="s">
        <v>20</v>
      </c>
      <c r="P655">
        <v>5</v>
      </c>
      <c r="Q655" t="str">
        <f t="shared" si="117"/>
        <v>Medium</v>
      </c>
    </row>
    <row r="656" spans="1:17" x14ac:dyDescent="0.3">
      <c r="A656">
        <v>656</v>
      </c>
      <c r="B656">
        <v>24</v>
      </c>
      <c r="C656" t="str">
        <f t="shared" si="112"/>
        <v>Young Adult</v>
      </c>
      <c r="D656" t="s">
        <v>21</v>
      </c>
      <c r="E656" t="s">
        <v>22</v>
      </c>
      <c r="F656" t="s">
        <v>58</v>
      </c>
      <c r="G656">
        <v>6.5</v>
      </c>
      <c r="H656" t="str">
        <f t="shared" si="113"/>
        <v>Heavy Use</v>
      </c>
      <c r="I656" t="s">
        <v>41</v>
      </c>
      <c r="J656" t="s">
        <v>18</v>
      </c>
      <c r="K656">
        <v>6.1</v>
      </c>
      <c r="L656" t="str">
        <f t="shared" si="114"/>
        <v>Severly Deficient Sleep</v>
      </c>
      <c r="M656">
        <v>5</v>
      </c>
      <c r="N656" t="str">
        <f t="shared" si="115"/>
        <v>Moderate</v>
      </c>
      <c r="O656" t="s">
        <v>28</v>
      </c>
      <c r="P656">
        <v>8</v>
      </c>
      <c r="Q656" t="str">
        <f>IF(P656&gt;=7,"High",IF(P656&gt;=6,"Medium","Low"))</f>
        <v>High</v>
      </c>
    </row>
    <row r="657" spans="1:17" hidden="1" x14ac:dyDescent="0.3">
      <c r="A657">
        <v>657</v>
      </c>
      <c r="B657">
        <v>19</v>
      </c>
      <c r="C657" t="str">
        <f t="shared" si="112"/>
        <v>Teenager</v>
      </c>
      <c r="D657" t="s">
        <v>13</v>
      </c>
      <c r="E657" t="s">
        <v>14</v>
      </c>
      <c r="F657" t="s">
        <v>73</v>
      </c>
      <c r="G657">
        <v>4.5999999999999996</v>
      </c>
      <c r="H657" t="str">
        <f t="shared" si="113"/>
        <v>Moderate Use</v>
      </c>
      <c r="I657" t="s">
        <v>25</v>
      </c>
      <c r="J657" t="s">
        <v>26</v>
      </c>
      <c r="K657">
        <v>7.3</v>
      </c>
      <c r="L657" t="str">
        <f t="shared" si="114"/>
        <v>Sufficient Sleep</v>
      </c>
      <c r="M657">
        <v>7</v>
      </c>
      <c r="N657" t="str">
        <f t="shared" si="115"/>
        <v>Sever</v>
      </c>
      <c r="O657" t="s">
        <v>20</v>
      </c>
      <c r="P657">
        <v>5</v>
      </c>
      <c r="Q657" t="str">
        <f t="shared" si="117"/>
        <v>Medium</v>
      </c>
    </row>
    <row r="658" spans="1:17" hidden="1" x14ac:dyDescent="0.3">
      <c r="A658">
        <v>658</v>
      </c>
      <c r="B658">
        <v>22</v>
      </c>
      <c r="C658" t="str">
        <f t="shared" si="112"/>
        <v>Young Adult</v>
      </c>
      <c r="D658" t="s">
        <v>21</v>
      </c>
      <c r="E658" t="s">
        <v>22</v>
      </c>
      <c r="F658" t="s">
        <v>91</v>
      </c>
      <c r="G658">
        <v>5.8</v>
      </c>
      <c r="H658" t="str">
        <f t="shared" si="113"/>
        <v>Moderate Use</v>
      </c>
      <c r="I658" t="s">
        <v>17</v>
      </c>
      <c r="J658" t="s">
        <v>18</v>
      </c>
      <c r="K658">
        <v>6.6</v>
      </c>
      <c r="L658" t="str">
        <f t="shared" si="114"/>
        <v>Severly Deficient Sleep</v>
      </c>
      <c r="M658">
        <v>6</v>
      </c>
      <c r="N658" t="str">
        <f t="shared" si="115"/>
        <v>Moderate</v>
      </c>
      <c r="O658" t="s">
        <v>28</v>
      </c>
      <c r="P658">
        <v>7</v>
      </c>
      <c r="Q658" t="str">
        <f t="shared" si="117"/>
        <v>High</v>
      </c>
    </row>
    <row r="659" spans="1:17" x14ac:dyDescent="0.3">
      <c r="A659">
        <v>659</v>
      </c>
      <c r="B659">
        <v>20</v>
      </c>
      <c r="C659" t="str">
        <f t="shared" si="112"/>
        <v>Young Adult</v>
      </c>
      <c r="D659" t="s">
        <v>13</v>
      </c>
      <c r="E659" t="s">
        <v>14</v>
      </c>
      <c r="F659" t="s">
        <v>23</v>
      </c>
      <c r="G659">
        <v>7.1</v>
      </c>
      <c r="H659" t="str">
        <f t="shared" si="113"/>
        <v>Heavy Use</v>
      </c>
      <c r="I659" t="s">
        <v>31</v>
      </c>
      <c r="J659" t="s">
        <v>18</v>
      </c>
      <c r="K659">
        <v>5.8</v>
      </c>
      <c r="L659" t="str">
        <f t="shared" si="114"/>
        <v>Severly Deficient Sleep</v>
      </c>
      <c r="M659">
        <v>4</v>
      </c>
      <c r="N659" t="str">
        <f t="shared" si="115"/>
        <v>Mild</v>
      </c>
      <c r="O659" t="s">
        <v>28</v>
      </c>
      <c r="P659">
        <v>9</v>
      </c>
      <c r="Q659" t="str">
        <f>IF(P659&gt;=7,"High",IF(P659&gt;=6,"Medium","Low"))</f>
        <v>High</v>
      </c>
    </row>
    <row r="660" spans="1:17" hidden="1" x14ac:dyDescent="0.3">
      <c r="A660">
        <v>660</v>
      </c>
      <c r="B660">
        <v>23</v>
      </c>
      <c r="C660" t="str">
        <f t="shared" si="112"/>
        <v>Young Adult</v>
      </c>
      <c r="D660" t="s">
        <v>21</v>
      </c>
      <c r="E660" t="s">
        <v>22</v>
      </c>
      <c r="F660" t="s">
        <v>81</v>
      </c>
      <c r="G660">
        <v>4.5</v>
      </c>
      <c r="H660" t="str">
        <f t="shared" si="113"/>
        <v>Moderate Use</v>
      </c>
      <c r="I660" t="s">
        <v>41</v>
      </c>
      <c r="J660" t="s">
        <v>26</v>
      </c>
      <c r="K660">
        <v>7.3</v>
      </c>
      <c r="L660" t="str">
        <f t="shared" si="114"/>
        <v>Sufficient Sleep</v>
      </c>
      <c r="M660">
        <v>7</v>
      </c>
      <c r="N660" t="str">
        <f t="shared" si="115"/>
        <v>Sever</v>
      </c>
      <c r="O660" t="s">
        <v>20</v>
      </c>
      <c r="P660">
        <v>5</v>
      </c>
      <c r="Q660" t="str">
        <f t="shared" si="117"/>
        <v>Medium</v>
      </c>
    </row>
    <row r="661" spans="1:17" hidden="1" x14ac:dyDescent="0.3">
      <c r="A661">
        <v>661</v>
      </c>
      <c r="B661">
        <v>21</v>
      </c>
      <c r="C661" t="str">
        <f t="shared" si="112"/>
        <v>Young Adult</v>
      </c>
      <c r="D661" t="s">
        <v>13</v>
      </c>
      <c r="E661" t="s">
        <v>14</v>
      </c>
      <c r="F661" t="s">
        <v>109</v>
      </c>
      <c r="G661">
        <v>6.7</v>
      </c>
      <c r="H661" t="str">
        <f t="shared" si="113"/>
        <v>Heavy Use</v>
      </c>
      <c r="I661" t="s">
        <v>17</v>
      </c>
      <c r="J661" t="s">
        <v>18</v>
      </c>
      <c r="K661">
        <v>6</v>
      </c>
      <c r="L661" t="str">
        <f t="shared" si="114"/>
        <v>Severly Deficient Sleep</v>
      </c>
      <c r="M661">
        <v>5</v>
      </c>
      <c r="N661" t="str">
        <f t="shared" si="115"/>
        <v>Moderate</v>
      </c>
      <c r="O661" t="s">
        <v>28</v>
      </c>
      <c r="P661">
        <v>8</v>
      </c>
      <c r="Q661" t="str">
        <f t="shared" si="117"/>
        <v>High</v>
      </c>
    </row>
    <row r="662" spans="1:17" x14ac:dyDescent="0.3">
      <c r="A662">
        <v>662</v>
      </c>
      <c r="B662">
        <v>24</v>
      </c>
      <c r="C662" t="str">
        <f t="shared" si="112"/>
        <v>Young Adult</v>
      </c>
      <c r="D662" t="s">
        <v>21</v>
      </c>
      <c r="E662" t="s">
        <v>22</v>
      </c>
      <c r="F662" t="s">
        <v>29</v>
      </c>
      <c r="G662">
        <v>5.4</v>
      </c>
      <c r="H662" t="str">
        <f t="shared" si="113"/>
        <v>Moderate Use</v>
      </c>
      <c r="I662" t="s">
        <v>25</v>
      </c>
      <c r="J662" t="s">
        <v>18</v>
      </c>
      <c r="K662">
        <v>6.8</v>
      </c>
      <c r="L662" t="str">
        <f t="shared" si="114"/>
        <v>Severly Deficient Sleep</v>
      </c>
      <c r="M662">
        <v>6</v>
      </c>
      <c r="N662" t="str">
        <f t="shared" si="115"/>
        <v>Moderate</v>
      </c>
      <c r="O662" t="s">
        <v>20</v>
      </c>
      <c r="P662">
        <v>7</v>
      </c>
      <c r="Q662" t="str">
        <f>IF(P662&gt;=7,"High",IF(P662&gt;=6,"Medium","Low"))</f>
        <v>High</v>
      </c>
    </row>
    <row r="663" spans="1:17" hidden="1" x14ac:dyDescent="0.3">
      <c r="A663">
        <v>663</v>
      </c>
      <c r="B663">
        <v>19</v>
      </c>
      <c r="C663" t="str">
        <f t="shared" si="112"/>
        <v>Teenager</v>
      </c>
      <c r="D663" t="s">
        <v>13</v>
      </c>
      <c r="E663" t="s">
        <v>14</v>
      </c>
      <c r="F663" t="s">
        <v>62</v>
      </c>
      <c r="G663">
        <v>6.4</v>
      </c>
      <c r="H663" t="str">
        <f t="shared" si="113"/>
        <v>Heavy Use</v>
      </c>
      <c r="I663" t="s">
        <v>31</v>
      </c>
      <c r="J663" t="s">
        <v>18</v>
      </c>
      <c r="K663">
        <v>6.2</v>
      </c>
      <c r="L663" t="str">
        <f t="shared" si="114"/>
        <v>Severly Deficient Sleep</v>
      </c>
      <c r="M663">
        <v>5</v>
      </c>
      <c r="N663" t="str">
        <f t="shared" si="115"/>
        <v>Moderate</v>
      </c>
      <c r="O663" t="s">
        <v>28</v>
      </c>
      <c r="P663">
        <v>8</v>
      </c>
      <c r="Q663" t="str">
        <f t="shared" si="117"/>
        <v>High</v>
      </c>
    </row>
    <row r="664" spans="1:17" x14ac:dyDescent="0.3">
      <c r="A664">
        <v>664</v>
      </c>
      <c r="B664">
        <v>22</v>
      </c>
      <c r="C664" t="str">
        <f t="shared" si="112"/>
        <v>Young Adult</v>
      </c>
      <c r="D664" t="s">
        <v>21</v>
      </c>
      <c r="E664" t="s">
        <v>22</v>
      </c>
      <c r="F664" t="s">
        <v>55</v>
      </c>
      <c r="G664">
        <v>4.7</v>
      </c>
      <c r="H664" t="str">
        <f t="shared" si="113"/>
        <v>Moderate Use</v>
      </c>
      <c r="I664" t="s">
        <v>41</v>
      </c>
      <c r="J664" t="s">
        <v>26</v>
      </c>
      <c r="K664">
        <v>7.2</v>
      </c>
      <c r="L664" t="str">
        <f t="shared" si="114"/>
        <v>Sufficient Sleep</v>
      </c>
      <c r="M664">
        <v>7</v>
      </c>
      <c r="N664" t="str">
        <f t="shared" si="115"/>
        <v>Sever</v>
      </c>
      <c r="O664" t="s">
        <v>20</v>
      </c>
      <c r="P664">
        <v>5</v>
      </c>
      <c r="Q664" t="str">
        <f t="shared" ref="Q664:Q665" si="118">IF(P664&gt;=7,"High",IF(P664&gt;=6,"Medium","Low"))</f>
        <v>Low</v>
      </c>
    </row>
    <row r="665" spans="1:17" x14ac:dyDescent="0.3">
      <c r="A665">
        <v>665</v>
      </c>
      <c r="B665">
        <v>20</v>
      </c>
      <c r="C665" t="str">
        <f t="shared" si="112"/>
        <v>Young Adult</v>
      </c>
      <c r="D665" t="s">
        <v>13</v>
      </c>
      <c r="E665" t="s">
        <v>14</v>
      </c>
      <c r="F665" t="s">
        <v>39</v>
      </c>
      <c r="G665">
        <v>5.6</v>
      </c>
      <c r="H665" t="str">
        <f t="shared" si="113"/>
        <v>Moderate Use</v>
      </c>
      <c r="I665" t="s">
        <v>17</v>
      </c>
      <c r="J665" t="s">
        <v>18</v>
      </c>
      <c r="K665">
        <v>6.7</v>
      </c>
      <c r="L665" t="str">
        <f t="shared" si="114"/>
        <v>Severly Deficient Sleep</v>
      </c>
      <c r="M665">
        <v>6</v>
      </c>
      <c r="N665" t="str">
        <f t="shared" si="115"/>
        <v>Moderate</v>
      </c>
      <c r="O665" t="s">
        <v>28</v>
      </c>
      <c r="P665">
        <v>7</v>
      </c>
      <c r="Q665" t="str">
        <f t="shared" si="118"/>
        <v>High</v>
      </c>
    </row>
    <row r="666" spans="1:17" hidden="1" x14ac:dyDescent="0.3">
      <c r="A666">
        <v>666</v>
      </c>
      <c r="B666">
        <v>23</v>
      </c>
      <c r="C666" t="str">
        <f t="shared" si="112"/>
        <v>Young Adult</v>
      </c>
      <c r="D666" t="s">
        <v>21</v>
      </c>
      <c r="E666" t="s">
        <v>22</v>
      </c>
      <c r="F666" t="s">
        <v>35</v>
      </c>
      <c r="G666">
        <v>6.3</v>
      </c>
      <c r="H666" t="str">
        <f t="shared" si="113"/>
        <v>Heavy Use</v>
      </c>
      <c r="I666" t="s">
        <v>25</v>
      </c>
      <c r="J666" t="s">
        <v>18</v>
      </c>
      <c r="K666">
        <v>6.2</v>
      </c>
      <c r="L666" t="str">
        <f t="shared" si="114"/>
        <v>Severly Deficient Sleep</v>
      </c>
      <c r="M666">
        <v>5</v>
      </c>
      <c r="N666" t="str">
        <f t="shared" si="115"/>
        <v>Moderate</v>
      </c>
      <c r="O666" t="s">
        <v>28</v>
      </c>
      <c r="P666">
        <v>8</v>
      </c>
      <c r="Q666" t="str">
        <f t="shared" si="117"/>
        <v>High</v>
      </c>
    </row>
    <row r="667" spans="1:17" hidden="1" x14ac:dyDescent="0.3">
      <c r="A667">
        <v>667</v>
      </c>
      <c r="B667">
        <v>21</v>
      </c>
      <c r="C667" t="str">
        <f t="shared" si="112"/>
        <v>Young Adult</v>
      </c>
      <c r="D667" t="s">
        <v>13</v>
      </c>
      <c r="E667" t="s">
        <v>14</v>
      </c>
      <c r="F667" t="s">
        <v>60</v>
      </c>
      <c r="G667">
        <v>4.8</v>
      </c>
      <c r="H667" t="str">
        <f t="shared" si="113"/>
        <v>Moderate Use</v>
      </c>
      <c r="I667" t="s">
        <v>31</v>
      </c>
      <c r="J667" t="s">
        <v>26</v>
      </c>
      <c r="K667">
        <v>7.1</v>
      </c>
      <c r="L667" t="str">
        <f t="shared" si="114"/>
        <v>Sufficient Sleep</v>
      </c>
      <c r="M667">
        <v>7</v>
      </c>
      <c r="N667" t="str">
        <f t="shared" si="115"/>
        <v>Sever</v>
      </c>
      <c r="O667" t="s">
        <v>20</v>
      </c>
      <c r="P667">
        <v>5</v>
      </c>
      <c r="Q667" t="str">
        <f t="shared" si="117"/>
        <v>Medium</v>
      </c>
    </row>
    <row r="668" spans="1:17" hidden="1" x14ac:dyDescent="0.3">
      <c r="A668">
        <v>668</v>
      </c>
      <c r="B668">
        <v>24</v>
      </c>
      <c r="C668" t="str">
        <f t="shared" si="112"/>
        <v>Young Adult</v>
      </c>
      <c r="D668" t="s">
        <v>21</v>
      </c>
      <c r="E668" t="s">
        <v>22</v>
      </c>
      <c r="F668" t="s">
        <v>63</v>
      </c>
      <c r="G668">
        <v>6.9</v>
      </c>
      <c r="H668" t="str">
        <f t="shared" si="113"/>
        <v>Heavy Use</v>
      </c>
      <c r="I668" t="s">
        <v>17</v>
      </c>
      <c r="J668" t="s">
        <v>18</v>
      </c>
      <c r="K668">
        <v>5.9</v>
      </c>
      <c r="L668" t="str">
        <f t="shared" si="114"/>
        <v>Severly Deficient Sleep</v>
      </c>
      <c r="M668">
        <v>4</v>
      </c>
      <c r="N668" t="str">
        <f t="shared" si="115"/>
        <v>Mild</v>
      </c>
      <c r="O668" t="s">
        <v>28</v>
      </c>
      <c r="P668">
        <v>9</v>
      </c>
      <c r="Q668" t="str">
        <f t="shared" si="117"/>
        <v>High</v>
      </c>
    </row>
    <row r="669" spans="1:17" hidden="1" x14ac:dyDescent="0.3">
      <c r="A669">
        <v>669</v>
      </c>
      <c r="B669">
        <v>19</v>
      </c>
      <c r="C669" t="str">
        <f t="shared" si="112"/>
        <v>Teenager</v>
      </c>
      <c r="D669" t="s">
        <v>13</v>
      </c>
      <c r="E669" t="s">
        <v>14</v>
      </c>
      <c r="F669" t="s">
        <v>66</v>
      </c>
      <c r="G669">
        <v>5.7</v>
      </c>
      <c r="H669" t="str">
        <f t="shared" si="113"/>
        <v>Moderate Use</v>
      </c>
      <c r="I669" t="s">
        <v>222</v>
      </c>
      <c r="J669" t="s">
        <v>18</v>
      </c>
      <c r="K669">
        <v>6.7</v>
      </c>
      <c r="L669" t="str">
        <f t="shared" si="114"/>
        <v>Severly Deficient Sleep</v>
      </c>
      <c r="M669">
        <v>6</v>
      </c>
      <c r="N669" t="str">
        <f t="shared" si="115"/>
        <v>Moderate</v>
      </c>
      <c r="O669" t="s">
        <v>20</v>
      </c>
      <c r="Q669">
        <v>7</v>
      </c>
    </row>
    <row r="670" spans="1:17" hidden="1" x14ac:dyDescent="0.3">
      <c r="A670">
        <v>670</v>
      </c>
      <c r="B670">
        <v>22</v>
      </c>
      <c r="C670" t="str">
        <f t="shared" si="112"/>
        <v>Young Adult</v>
      </c>
      <c r="D670" t="s">
        <v>21</v>
      </c>
      <c r="E670" t="s">
        <v>22</v>
      </c>
      <c r="F670" t="s">
        <v>51</v>
      </c>
      <c r="G670">
        <v>4.4000000000000004</v>
      </c>
      <c r="H670" t="str">
        <f t="shared" si="113"/>
        <v>Moderate Use</v>
      </c>
      <c r="I670" t="s">
        <v>25</v>
      </c>
      <c r="J670" t="s">
        <v>26</v>
      </c>
      <c r="K670">
        <v>7.4</v>
      </c>
      <c r="L670" t="str">
        <f t="shared" si="114"/>
        <v>Sufficient Sleep</v>
      </c>
      <c r="M670">
        <v>8</v>
      </c>
      <c r="N670" t="str">
        <f t="shared" si="115"/>
        <v>Sever</v>
      </c>
      <c r="O670" t="s">
        <v>28</v>
      </c>
      <c r="P670">
        <v>4</v>
      </c>
      <c r="Q670" t="str">
        <f t="shared" ref="Q670:Q685" si="119">IF(P670&gt;=7,"High",IF(P670&gt;=5,"Medium","Low"))</f>
        <v>Low</v>
      </c>
    </row>
    <row r="671" spans="1:17" hidden="1" x14ac:dyDescent="0.3">
      <c r="A671">
        <v>671</v>
      </c>
      <c r="B671">
        <v>20</v>
      </c>
      <c r="C671" t="str">
        <f t="shared" si="112"/>
        <v>Young Adult</v>
      </c>
      <c r="D671" t="s">
        <v>13</v>
      </c>
      <c r="E671" t="s">
        <v>14</v>
      </c>
      <c r="F671" t="s">
        <v>145</v>
      </c>
      <c r="G671">
        <v>6.1</v>
      </c>
      <c r="H671" t="str">
        <f t="shared" si="113"/>
        <v>Heavy Use</v>
      </c>
      <c r="I671" t="s">
        <v>41</v>
      </c>
      <c r="J671" t="s">
        <v>18</v>
      </c>
      <c r="K671">
        <v>6.4</v>
      </c>
      <c r="L671" t="str">
        <f t="shared" si="114"/>
        <v>Severly Deficient Sleep</v>
      </c>
      <c r="M671">
        <v>5</v>
      </c>
      <c r="N671" t="str">
        <f t="shared" si="115"/>
        <v>Moderate</v>
      </c>
      <c r="O671" t="s">
        <v>28</v>
      </c>
      <c r="P671">
        <v>8</v>
      </c>
      <c r="Q671" t="str">
        <f t="shared" si="119"/>
        <v>High</v>
      </c>
    </row>
    <row r="672" spans="1:17" hidden="1" x14ac:dyDescent="0.3">
      <c r="A672">
        <v>672</v>
      </c>
      <c r="B672">
        <v>23</v>
      </c>
      <c r="C672" t="str">
        <f t="shared" si="112"/>
        <v>Young Adult</v>
      </c>
      <c r="D672" t="s">
        <v>21</v>
      </c>
      <c r="E672" t="s">
        <v>22</v>
      </c>
      <c r="F672" t="s">
        <v>144</v>
      </c>
      <c r="G672">
        <v>4.3</v>
      </c>
      <c r="H672" t="str">
        <f t="shared" si="113"/>
        <v>Moderate Use</v>
      </c>
      <c r="I672" t="s">
        <v>17</v>
      </c>
      <c r="J672" t="s">
        <v>26</v>
      </c>
      <c r="K672">
        <v>7.5</v>
      </c>
      <c r="L672" t="str">
        <f t="shared" si="114"/>
        <v>Sufficient Sleep</v>
      </c>
      <c r="M672">
        <v>7</v>
      </c>
      <c r="N672" t="str">
        <f t="shared" si="115"/>
        <v>Sever</v>
      </c>
      <c r="O672" t="s">
        <v>20</v>
      </c>
      <c r="P672">
        <v>5</v>
      </c>
      <c r="Q672" t="str">
        <f t="shared" si="119"/>
        <v>Medium</v>
      </c>
    </row>
    <row r="673" spans="1:17" x14ac:dyDescent="0.3">
      <c r="A673">
        <v>673</v>
      </c>
      <c r="B673">
        <v>21</v>
      </c>
      <c r="C673" t="str">
        <f t="shared" si="112"/>
        <v>Young Adult</v>
      </c>
      <c r="D673" t="s">
        <v>13</v>
      </c>
      <c r="E673" t="s">
        <v>14</v>
      </c>
      <c r="F673" t="s">
        <v>58</v>
      </c>
      <c r="G673">
        <v>6.4</v>
      </c>
      <c r="H673" t="str">
        <f t="shared" si="113"/>
        <v>Heavy Use</v>
      </c>
      <c r="I673" t="s">
        <v>31</v>
      </c>
      <c r="J673" t="s">
        <v>18</v>
      </c>
      <c r="K673">
        <v>6.2</v>
      </c>
      <c r="L673" t="str">
        <f t="shared" si="114"/>
        <v>Severly Deficient Sleep</v>
      </c>
      <c r="M673">
        <v>5</v>
      </c>
      <c r="N673" t="str">
        <f t="shared" si="115"/>
        <v>Moderate</v>
      </c>
      <c r="O673" t="s">
        <v>28</v>
      </c>
      <c r="P673">
        <v>8</v>
      </c>
      <c r="Q673" t="str">
        <f>IF(P673&gt;=7,"High",IF(P673&gt;=6,"Medium","Low"))</f>
        <v>High</v>
      </c>
    </row>
    <row r="674" spans="1:17" hidden="1" x14ac:dyDescent="0.3">
      <c r="A674">
        <v>674</v>
      </c>
      <c r="B674">
        <v>24</v>
      </c>
      <c r="C674" t="str">
        <f t="shared" si="112"/>
        <v>Young Adult</v>
      </c>
      <c r="D674" t="s">
        <v>21</v>
      </c>
      <c r="E674" t="s">
        <v>22</v>
      </c>
      <c r="F674" t="s">
        <v>73</v>
      </c>
      <c r="G674">
        <v>4.5</v>
      </c>
      <c r="H674" t="str">
        <f t="shared" si="113"/>
        <v>Moderate Use</v>
      </c>
      <c r="I674" t="s">
        <v>25</v>
      </c>
      <c r="J674" t="s">
        <v>26</v>
      </c>
      <c r="K674">
        <v>7.3</v>
      </c>
      <c r="L674" t="str">
        <f t="shared" si="114"/>
        <v>Sufficient Sleep</v>
      </c>
      <c r="M674">
        <v>7</v>
      </c>
      <c r="N674" t="str">
        <f t="shared" si="115"/>
        <v>Sever</v>
      </c>
      <c r="O674" t="s">
        <v>20</v>
      </c>
      <c r="P674">
        <v>5</v>
      </c>
      <c r="Q674" t="str">
        <f t="shared" si="119"/>
        <v>Medium</v>
      </c>
    </row>
    <row r="675" spans="1:17" hidden="1" x14ac:dyDescent="0.3">
      <c r="A675">
        <v>675</v>
      </c>
      <c r="B675">
        <v>19</v>
      </c>
      <c r="C675" t="str">
        <f t="shared" si="112"/>
        <v>Teenager</v>
      </c>
      <c r="D675" t="s">
        <v>13</v>
      </c>
      <c r="E675" t="s">
        <v>14</v>
      </c>
      <c r="F675" t="s">
        <v>91</v>
      </c>
      <c r="G675">
        <v>5.9</v>
      </c>
      <c r="H675" t="str">
        <f t="shared" si="113"/>
        <v>Moderate Use</v>
      </c>
      <c r="I675" t="s">
        <v>17</v>
      </c>
      <c r="J675" t="s">
        <v>18</v>
      </c>
      <c r="K675">
        <v>6.5</v>
      </c>
      <c r="L675" t="str">
        <f t="shared" si="114"/>
        <v>Severly Deficient Sleep</v>
      </c>
      <c r="M675">
        <v>6</v>
      </c>
      <c r="N675" t="str">
        <f t="shared" si="115"/>
        <v>Moderate</v>
      </c>
      <c r="O675" t="s">
        <v>28</v>
      </c>
      <c r="P675">
        <v>7</v>
      </c>
      <c r="Q675" t="str">
        <f t="shared" si="119"/>
        <v>High</v>
      </c>
    </row>
    <row r="676" spans="1:17" x14ac:dyDescent="0.3">
      <c r="A676">
        <v>676</v>
      </c>
      <c r="B676">
        <v>22</v>
      </c>
      <c r="C676" t="str">
        <f t="shared" si="112"/>
        <v>Young Adult</v>
      </c>
      <c r="D676" t="s">
        <v>21</v>
      </c>
      <c r="E676" t="s">
        <v>22</v>
      </c>
      <c r="F676" t="s">
        <v>23</v>
      </c>
      <c r="G676">
        <v>7.2</v>
      </c>
      <c r="H676" t="str">
        <f t="shared" si="113"/>
        <v>Heavy Use</v>
      </c>
      <c r="I676" t="s">
        <v>41</v>
      </c>
      <c r="J676" t="s">
        <v>18</v>
      </c>
      <c r="K676">
        <v>5.7</v>
      </c>
      <c r="L676" t="str">
        <f t="shared" si="114"/>
        <v>Severly Deficient Sleep</v>
      </c>
      <c r="M676">
        <v>4</v>
      </c>
      <c r="N676" t="str">
        <f t="shared" si="115"/>
        <v>Mild</v>
      </c>
      <c r="O676" t="s">
        <v>28</v>
      </c>
      <c r="P676">
        <v>9</v>
      </c>
      <c r="Q676" t="str">
        <f>IF(P676&gt;=7,"High",IF(P676&gt;=6,"Medium","Low"))</f>
        <v>High</v>
      </c>
    </row>
    <row r="677" spans="1:17" hidden="1" x14ac:dyDescent="0.3">
      <c r="A677">
        <v>677</v>
      </c>
      <c r="B677">
        <v>20</v>
      </c>
      <c r="C677" t="str">
        <f t="shared" si="112"/>
        <v>Young Adult</v>
      </c>
      <c r="D677" t="s">
        <v>13</v>
      </c>
      <c r="E677" t="s">
        <v>14</v>
      </c>
      <c r="F677" t="s">
        <v>81</v>
      </c>
      <c r="G677">
        <v>4.5999999999999996</v>
      </c>
      <c r="H677" t="str">
        <f t="shared" si="113"/>
        <v>Moderate Use</v>
      </c>
      <c r="I677" t="s">
        <v>31</v>
      </c>
      <c r="J677" t="s">
        <v>26</v>
      </c>
      <c r="K677">
        <v>7.2</v>
      </c>
      <c r="L677" t="str">
        <f t="shared" si="114"/>
        <v>Sufficient Sleep</v>
      </c>
      <c r="M677">
        <v>7</v>
      </c>
      <c r="N677" t="str">
        <f t="shared" si="115"/>
        <v>Sever</v>
      </c>
      <c r="O677" t="s">
        <v>20</v>
      </c>
      <c r="P677">
        <v>5</v>
      </c>
      <c r="Q677" t="str">
        <f t="shared" si="119"/>
        <v>Medium</v>
      </c>
    </row>
    <row r="678" spans="1:17" hidden="1" x14ac:dyDescent="0.3">
      <c r="A678">
        <v>678</v>
      </c>
      <c r="B678">
        <v>23</v>
      </c>
      <c r="C678" t="str">
        <f t="shared" si="112"/>
        <v>Young Adult</v>
      </c>
      <c r="D678" t="s">
        <v>21</v>
      </c>
      <c r="E678" t="s">
        <v>22</v>
      </c>
      <c r="F678" t="s">
        <v>109</v>
      </c>
      <c r="G678">
        <v>6.8</v>
      </c>
      <c r="H678" t="str">
        <f t="shared" si="113"/>
        <v>Heavy Use</v>
      </c>
      <c r="I678" t="s">
        <v>17</v>
      </c>
      <c r="J678" t="s">
        <v>18</v>
      </c>
      <c r="K678">
        <v>6</v>
      </c>
      <c r="L678" t="str">
        <f t="shared" si="114"/>
        <v>Severly Deficient Sleep</v>
      </c>
      <c r="M678">
        <v>5</v>
      </c>
      <c r="N678" t="str">
        <f t="shared" si="115"/>
        <v>Moderate</v>
      </c>
      <c r="O678" t="s">
        <v>28</v>
      </c>
      <c r="P678">
        <v>8</v>
      </c>
      <c r="Q678" t="str">
        <f t="shared" si="119"/>
        <v>High</v>
      </c>
    </row>
    <row r="679" spans="1:17" x14ac:dyDescent="0.3">
      <c r="A679">
        <v>679</v>
      </c>
      <c r="B679">
        <v>21</v>
      </c>
      <c r="C679" t="str">
        <f t="shared" si="112"/>
        <v>Young Adult</v>
      </c>
      <c r="D679" t="s">
        <v>13</v>
      </c>
      <c r="E679" t="s">
        <v>14</v>
      </c>
      <c r="F679" t="s">
        <v>29</v>
      </c>
      <c r="G679">
        <v>5.3</v>
      </c>
      <c r="H679" t="str">
        <f t="shared" si="113"/>
        <v>Moderate Use</v>
      </c>
      <c r="I679" t="s">
        <v>25</v>
      </c>
      <c r="J679" t="s">
        <v>18</v>
      </c>
      <c r="K679">
        <v>6.8</v>
      </c>
      <c r="L679" t="str">
        <f t="shared" si="114"/>
        <v>Severly Deficient Sleep</v>
      </c>
      <c r="M679">
        <v>6</v>
      </c>
      <c r="N679" t="str">
        <f t="shared" si="115"/>
        <v>Moderate</v>
      </c>
      <c r="O679" t="s">
        <v>20</v>
      </c>
      <c r="P679">
        <v>7</v>
      </c>
      <c r="Q679" t="str">
        <f>IF(P679&gt;=7,"High",IF(P679&gt;=6,"Medium","Low"))</f>
        <v>High</v>
      </c>
    </row>
    <row r="680" spans="1:17" hidden="1" x14ac:dyDescent="0.3">
      <c r="A680">
        <v>680</v>
      </c>
      <c r="B680">
        <v>24</v>
      </c>
      <c r="C680" t="str">
        <f t="shared" si="112"/>
        <v>Young Adult</v>
      </c>
      <c r="D680" t="s">
        <v>21</v>
      </c>
      <c r="E680" t="s">
        <v>22</v>
      </c>
      <c r="F680" t="s">
        <v>62</v>
      </c>
      <c r="G680">
        <v>6.2</v>
      </c>
      <c r="H680" t="str">
        <f t="shared" si="113"/>
        <v>Heavy Use</v>
      </c>
      <c r="I680" t="s">
        <v>41</v>
      </c>
      <c r="J680" t="s">
        <v>18</v>
      </c>
      <c r="K680">
        <v>6.3</v>
      </c>
      <c r="L680" t="str">
        <f t="shared" si="114"/>
        <v>Severly Deficient Sleep</v>
      </c>
      <c r="M680">
        <v>5</v>
      </c>
      <c r="N680" t="str">
        <f t="shared" si="115"/>
        <v>Moderate</v>
      </c>
      <c r="O680" t="s">
        <v>28</v>
      </c>
      <c r="P680">
        <v>8</v>
      </c>
      <c r="Q680" t="str">
        <f t="shared" si="119"/>
        <v>High</v>
      </c>
    </row>
    <row r="681" spans="1:17" x14ac:dyDescent="0.3">
      <c r="A681">
        <v>681</v>
      </c>
      <c r="B681">
        <v>19</v>
      </c>
      <c r="C681" t="str">
        <f t="shared" si="112"/>
        <v>Teenager</v>
      </c>
      <c r="D681" t="s">
        <v>13</v>
      </c>
      <c r="E681" t="s">
        <v>14</v>
      </c>
      <c r="F681" t="s">
        <v>55</v>
      </c>
      <c r="G681">
        <v>4.7</v>
      </c>
      <c r="H681" t="str">
        <f t="shared" si="113"/>
        <v>Moderate Use</v>
      </c>
      <c r="I681" t="s">
        <v>17</v>
      </c>
      <c r="J681" t="s">
        <v>26</v>
      </c>
      <c r="K681">
        <v>7.2</v>
      </c>
      <c r="L681" t="str">
        <f t="shared" si="114"/>
        <v>Sufficient Sleep</v>
      </c>
      <c r="M681">
        <v>7</v>
      </c>
      <c r="N681" t="str">
        <f t="shared" si="115"/>
        <v>Sever</v>
      </c>
      <c r="O681" t="s">
        <v>20</v>
      </c>
      <c r="P681">
        <v>5</v>
      </c>
      <c r="Q681" t="str">
        <f t="shared" ref="Q681:Q682" si="120">IF(P681&gt;=7,"High",IF(P681&gt;=6,"Medium","Low"))</f>
        <v>Low</v>
      </c>
    </row>
    <row r="682" spans="1:17" x14ac:dyDescent="0.3">
      <c r="A682">
        <v>682</v>
      </c>
      <c r="B682">
        <v>22</v>
      </c>
      <c r="C682" t="str">
        <f t="shared" si="112"/>
        <v>Young Adult</v>
      </c>
      <c r="D682" t="s">
        <v>21</v>
      </c>
      <c r="E682" t="s">
        <v>22</v>
      </c>
      <c r="F682" t="s">
        <v>39</v>
      </c>
      <c r="G682">
        <v>5.8</v>
      </c>
      <c r="H682" t="str">
        <f t="shared" si="113"/>
        <v>Moderate Use</v>
      </c>
      <c r="I682" t="s">
        <v>31</v>
      </c>
      <c r="J682" t="s">
        <v>18</v>
      </c>
      <c r="K682">
        <v>6.6</v>
      </c>
      <c r="L682" t="str">
        <f t="shared" si="114"/>
        <v>Severly Deficient Sleep</v>
      </c>
      <c r="M682">
        <v>6</v>
      </c>
      <c r="N682" t="str">
        <f t="shared" si="115"/>
        <v>Moderate</v>
      </c>
      <c r="O682" t="s">
        <v>28</v>
      </c>
      <c r="P682">
        <v>7</v>
      </c>
      <c r="Q682" t="str">
        <f t="shared" si="120"/>
        <v>High</v>
      </c>
    </row>
    <row r="683" spans="1:17" hidden="1" x14ac:dyDescent="0.3">
      <c r="A683">
        <v>683</v>
      </c>
      <c r="B683">
        <v>20</v>
      </c>
      <c r="C683" t="str">
        <f t="shared" si="112"/>
        <v>Young Adult</v>
      </c>
      <c r="D683" t="s">
        <v>13</v>
      </c>
      <c r="E683" t="s">
        <v>14</v>
      </c>
      <c r="F683" t="s">
        <v>35</v>
      </c>
      <c r="G683">
        <v>6.1</v>
      </c>
      <c r="H683" t="str">
        <f t="shared" si="113"/>
        <v>Heavy Use</v>
      </c>
      <c r="I683" t="s">
        <v>25</v>
      </c>
      <c r="J683" t="s">
        <v>18</v>
      </c>
      <c r="K683">
        <v>6.4</v>
      </c>
      <c r="L683" t="str">
        <f t="shared" si="114"/>
        <v>Severly Deficient Sleep</v>
      </c>
      <c r="M683">
        <v>5</v>
      </c>
      <c r="N683" t="str">
        <f t="shared" si="115"/>
        <v>Moderate</v>
      </c>
      <c r="O683" t="s">
        <v>28</v>
      </c>
      <c r="P683">
        <v>8</v>
      </c>
      <c r="Q683" t="str">
        <f t="shared" si="119"/>
        <v>High</v>
      </c>
    </row>
    <row r="684" spans="1:17" hidden="1" x14ac:dyDescent="0.3">
      <c r="A684">
        <v>684</v>
      </c>
      <c r="B684">
        <v>23</v>
      </c>
      <c r="C684" t="str">
        <f t="shared" si="112"/>
        <v>Young Adult</v>
      </c>
      <c r="D684" t="s">
        <v>21</v>
      </c>
      <c r="E684" t="s">
        <v>22</v>
      </c>
      <c r="F684" t="s">
        <v>60</v>
      </c>
      <c r="G684">
        <v>4.8</v>
      </c>
      <c r="H684" t="str">
        <f t="shared" si="113"/>
        <v>Moderate Use</v>
      </c>
      <c r="I684" t="s">
        <v>41</v>
      </c>
      <c r="J684" t="s">
        <v>26</v>
      </c>
      <c r="K684">
        <v>7.1</v>
      </c>
      <c r="L684" t="str">
        <f t="shared" si="114"/>
        <v>Sufficient Sleep</v>
      </c>
      <c r="M684">
        <v>7</v>
      </c>
      <c r="N684" t="str">
        <f t="shared" si="115"/>
        <v>Sever</v>
      </c>
      <c r="O684" t="s">
        <v>20</v>
      </c>
      <c r="P684">
        <v>5</v>
      </c>
      <c r="Q684" t="str">
        <f t="shared" si="119"/>
        <v>Medium</v>
      </c>
    </row>
    <row r="685" spans="1:17" hidden="1" x14ac:dyDescent="0.3">
      <c r="A685">
        <v>685</v>
      </c>
      <c r="B685">
        <v>21</v>
      </c>
      <c r="C685" t="str">
        <f t="shared" si="112"/>
        <v>Young Adult</v>
      </c>
      <c r="D685" t="s">
        <v>13</v>
      </c>
      <c r="E685" t="s">
        <v>14</v>
      </c>
      <c r="F685" t="s">
        <v>63</v>
      </c>
      <c r="G685">
        <v>6.7</v>
      </c>
      <c r="H685" t="str">
        <f t="shared" si="113"/>
        <v>Heavy Use</v>
      </c>
      <c r="I685" t="s">
        <v>17</v>
      </c>
      <c r="J685" t="s">
        <v>18</v>
      </c>
      <c r="K685">
        <v>6</v>
      </c>
      <c r="L685" t="str">
        <f t="shared" si="114"/>
        <v>Severly Deficient Sleep</v>
      </c>
      <c r="M685">
        <v>4</v>
      </c>
      <c r="N685" t="str">
        <f t="shared" si="115"/>
        <v>Mild</v>
      </c>
      <c r="O685" t="s">
        <v>28</v>
      </c>
      <c r="P685">
        <v>9</v>
      </c>
      <c r="Q685" t="str">
        <f t="shared" si="119"/>
        <v>High</v>
      </c>
    </row>
    <row r="686" spans="1:17" hidden="1" x14ac:dyDescent="0.3">
      <c r="A686">
        <v>686</v>
      </c>
      <c r="B686">
        <v>24</v>
      </c>
      <c r="C686" t="str">
        <f t="shared" si="112"/>
        <v>Young Adult</v>
      </c>
      <c r="D686" t="s">
        <v>21</v>
      </c>
      <c r="E686" t="s">
        <v>22</v>
      </c>
      <c r="F686" t="s">
        <v>66</v>
      </c>
      <c r="G686">
        <v>5.5</v>
      </c>
      <c r="H686" t="str">
        <f t="shared" si="113"/>
        <v>Moderate Use</v>
      </c>
      <c r="I686" t="s">
        <v>222</v>
      </c>
      <c r="J686" t="s">
        <v>18</v>
      </c>
      <c r="K686">
        <v>6.8</v>
      </c>
      <c r="L686" t="str">
        <f t="shared" si="114"/>
        <v>Severly Deficient Sleep</v>
      </c>
      <c r="M686">
        <v>6</v>
      </c>
      <c r="N686" t="str">
        <f t="shared" si="115"/>
        <v>Moderate</v>
      </c>
      <c r="O686" t="s">
        <v>20</v>
      </c>
      <c r="Q686">
        <v>7</v>
      </c>
    </row>
    <row r="687" spans="1:17" hidden="1" x14ac:dyDescent="0.3">
      <c r="A687">
        <v>687</v>
      </c>
      <c r="B687">
        <v>19</v>
      </c>
      <c r="C687" t="str">
        <f t="shared" si="112"/>
        <v>Teenager</v>
      </c>
      <c r="D687" t="s">
        <v>13</v>
      </c>
      <c r="E687" t="s">
        <v>14</v>
      </c>
      <c r="F687" t="s">
        <v>51</v>
      </c>
      <c r="G687">
        <v>4.2</v>
      </c>
      <c r="H687" t="str">
        <f t="shared" si="113"/>
        <v>Moderate Use</v>
      </c>
      <c r="I687" t="s">
        <v>25</v>
      </c>
      <c r="J687" t="s">
        <v>26</v>
      </c>
      <c r="K687">
        <v>7.5</v>
      </c>
      <c r="L687" t="str">
        <f t="shared" si="114"/>
        <v>Sufficient Sleep</v>
      </c>
      <c r="M687">
        <v>8</v>
      </c>
      <c r="N687" t="str">
        <f t="shared" si="115"/>
        <v>Sever</v>
      </c>
      <c r="O687" t="s">
        <v>28</v>
      </c>
      <c r="P687">
        <v>4</v>
      </c>
      <c r="Q687" t="str">
        <f t="shared" ref="Q687:Q702" si="121">IF(P687&gt;=7,"High",IF(P687&gt;=5,"Medium","Low"))</f>
        <v>Low</v>
      </c>
    </row>
    <row r="688" spans="1:17" hidden="1" x14ac:dyDescent="0.3">
      <c r="A688">
        <v>688</v>
      </c>
      <c r="B688">
        <v>22</v>
      </c>
      <c r="C688" t="str">
        <f t="shared" si="112"/>
        <v>Young Adult</v>
      </c>
      <c r="D688" t="s">
        <v>21</v>
      </c>
      <c r="E688" t="s">
        <v>22</v>
      </c>
      <c r="F688" t="s">
        <v>145</v>
      </c>
      <c r="G688">
        <v>6.3</v>
      </c>
      <c r="H688" t="str">
        <f t="shared" si="113"/>
        <v>Heavy Use</v>
      </c>
      <c r="I688" t="s">
        <v>31</v>
      </c>
      <c r="J688" t="s">
        <v>18</v>
      </c>
      <c r="K688">
        <v>6.2</v>
      </c>
      <c r="L688" t="str">
        <f t="shared" si="114"/>
        <v>Severly Deficient Sleep</v>
      </c>
      <c r="M688">
        <v>5</v>
      </c>
      <c r="N688" t="str">
        <f t="shared" si="115"/>
        <v>Moderate</v>
      </c>
      <c r="O688" t="s">
        <v>28</v>
      </c>
      <c r="P688">
        <v>8</v>
      </c>
      <c r="Q688" t="str">
        <f t="shared" si="121"/>
        <v>High</v>
      </c>
    </row>
    <row r="689" spans="1:17" hidden="1" x14ac:dyDescent="0.3">
      <c r="A689">
        <v>689</v>
      </c>
      <c r="B689">
        <v>20</v>
      </c>
      <c r="C689" t="str">
        <f t="shared" si="112"/>
        <v>Young Adult</v>
      </c>
      <c r="D689" t="s">
        <v>13</v>
      </c>
      <c r="E689" t="s">
        <v>14</v>
      </c>
      <c r="F689" t="s">
        <v>144</v>
      </c>
      <c r="G689">
        <v>4.4000000000000004</v>
      </c>
      <c r="H689" t="str">
        <f t="shared" si="113"/>
        <v>Moderate Use</v>
      </c>
      <c r="I689" t="s">
        <v>17</v>
      </c>
      <c r="J689" t="s">
        <v>26</v>
      </c>
      <c r="K689">
        <v>7.4</v>
      </c>
      <c r="L689" t="str">
        <f t="shared" si="114"/>
        <v>Sufficient Sleep</v>
      </c>
      <c r="M689">
        <v>7</v>
      </c>
      <c r="N689" t="str">
        <f t="shared" si="115"/>
        <v>Sever</v>
      </c>
      <c r="O689" t="s">
        <v>20</v>
      </c>
      <c r="P689">
        <v>5</v>
      </c>
      <c r="Q689" t="str">
        <f t="shared" si="121"/>
        <v>Medium</v>
      </c>
    </row>
    <row r="690" spans="1:17" x14ac:dyDescent="0.3">
      <c r="A690">
        <v>690</v>
      </c>
      <c r="B690">
        <v>23</v>
      </c>
      <c r="C690" t="str">
        <f t="shared" si="112"/>
        <v>Young Adult</v>
      </c>
      <c r="D690" t="s">
        <v>21</v>
      </c>
      <c r="E690" t="s">
        <v>22</v>
      </c>
      <c r="F690" t="s">
        <v>58</v>
      </c>
      <c r="G690">
        <v>6.5</v>
      </c>
      <c r="H690" t="str">
        <f t="shared" si="113"/>
        <v>Heavy Use</v>
      </c>
      <c r="I690" t="s">
        <v>41</v>
      </c>
      <c r="J690" t="s">
        <v>18</v>
      </c>
      <c r="K690">
        <v>6.1</v>
      </c>
      <c r="L690" t="str">
        <f t="shared" si="114"/>
        <v>Severly Deficient Sleep</v>
      </c>
      <c r="M690">
        <v>5</v>
      </c>
      <c r="N690" t="str">
        <f t="shared" si="115"/>
        <v>Moderate</v>
      </c>
      <c r="O690" t="s">
        <v>28</v>
      </c>
      <c r="P690">
        <v>8</v>
      </c>
      <c r="Q690" t="str">
        <f>IF(P690&gt;=7,"High",IF(P690&gt;=6,"Medium","Low"))</f>
        <v>High</v>
      </c>
    </row>
    <row r="691" spans="1:17" hidden="1" x14ac:dyDescent="0.3">
      <c r="A691">
        <v>691</v>
      </c>
      <c r="B691">
        <v>21</v>
      </c>
      <c r="C691" t="str">
        <f t="shared" si="112"/>
        <v>Young Adult</v>
      </c>
      <c r="D691" t="s">
        <v>13</v>
      </c>
      <c r="E691" t="s">
        <v>14</v>
      </c>
      <c r="F691" t="s">
        <v>73</v>
      </c>
      <c r="G691">
        <v>4.5999999999999996</v>
      </c>
      <c r="H691" t="str">
        <f t="shared" si="113"/>
        <v>Moderate Use</v>
      </c>
      <c r="I691" t="s">
        <v>25</v>
      </c>
      <c r="J691" t="s">
        <v>26</v>
      </c>
      <c r="K691">
        <v>7.3</v>
      </c>
      <c r="L691" t="str">
        <f t="shared" si="114"/>
        <v>Sufficient Sleep</v>
      </c>
      <c r="M691">
        <v>7</v>
      </c>
      <c r="N691" t="str">
        <f t="shared" si="115"/>
        <v>Sever</v>
      </c>
      <c r="O691" t="s">
        <v>20</v>
      </c>
      <c r="P691">
        <v>5</v>
      </c>
      <c r="Q691" t="str">
        <f t="shared" si="121"/>
        <v>Medium</v>
      </c>
    </row>
    <row r="692" spans="1:17" hidden="1" x14ac:dyDescent="0.3">
      <c r="A692">
        <v>692</v>
      </c>
      <c r="B692">
        <v>24</v>
      </c>
      <c r="C692" t="str">
        <f t="shared" si="112"/>
        <v>Young Adult</v>
      </c>
      <c r="D692" t="s">
        <v>21</v>
      </c>
      <c r="E692" t="s">
        <v>22</v>
      </c>
      <c r="F692" t="s">
        <v>91</v>
      </c>
      <c r="G692">
        <v>5.9</v>
      </c>
      <c r="H692" t="str">
        <f t="shared" si="113"/>
        <v>Moderate Use</v>
      </c>
      <c r="I692" t="s">
        <v>17</v>
      </c>
      <c r="J692" t="s">
        <v>18</v>
      </c>
      <c r="K692">
        <v>6.5</v>
      </c>
      <c r="L692" t="str">
        <f t="shared" si="114"/>
        <v>Severly Deficient Sleep</v>
      </c>
      <c r="M692">
        <v>6</v>
      </c>
      <c r="N692" t="str">
        <f t="shared" si="115"/>
        <v>Moderate</v>
      </c>
      <c r="O692" t="s">
        <v>28</v>
      </c>
      <c r="P692">
        <v>7</v>
      </c>
      <c r="Q692" t="str">
        <f t="shared" si="121"/>
        <v>High</v>
      </c>
    </row>
    <row r="693" spans="1:17" x14ac:dyDescent="0.3">
      <c r="A693">
        <v>693</v>
      </c>
      <c r="B693">
        <v>19</v>
      </c>
      <c r="C693" t="str">
        <f t="shared" si="112"/>
        <v>Teenager</v>
      </c>
      <c r="D693" t="s">
        <v>13</v>
      </c>
      <c r="E693" t="s">
        <v>14</v>
      </c>
      <c r="F693" t="s">
        <v>23</v>
      </c>
      <c r="G693">
        <v>7</v>
      </c>
      <c r="H693" t="str">
        <f t="shared" si="113"/>
        <v>Heavy Use</v>
      </c>
      <c r="I693" t="s">
        <v>31</v>
      </c>
      <c r="J693" t="s">
        <v>18</v>
      </c>
      <c r="K693">
        <v>5.8</v>
      </c>
      <c r="L693" t="str">
        <f t="shared" si="114"/>
        <v>Severly Deficient Sleep</v>
      </c>
      <c r="M693">
        <v>4</v>
      </c>
      <c r="N693" t="str">
        <f t="shared" si="115"/>
        <v>Mild</v>
      </c>
      <c r="O693" t="s">
        <v>28</v>
      </c>
      <c r="P693">
        <v>9</v>
      </c>
      <c r="Q693" t="str">
        <f>IF(P693&gt;=7,"High",IF(P693&gt;=6,"Medium","Low"))</f>
        <v>High</v>
      </c>
    </row>
    <row r="694" spans="1:17" hidden="1" x14ac:dyDescent="0.3">
      <c r="A694">
        <v>694</v>
      </c>
      <c r="B694">
        <v>22</v>
      </c>
      <c r="C694" t="str">
        <f t="shared" si="112"/>
        <v>Young Adult</v>
      </c>
      <c r="D694" t="s">
        <v>21</v>
      </c>
      <c r="E694" t="s">
        <v>22</v>
      </c>
      <c r="F694" t="s">
        <v>81</v>
      </c>
      <c r="G694">
        <v>4.5</v>
      </c>
      <c r="H694" t="str">
        <f t="shared" si="113"/>
        <v>Moderate Use</v>
      </c>
      <c r="I694" t="s">
        <v>41</v>
      </c>
      <c r="J694" t="s">
        <v>26</v>
      </c>
      <c r="K694">
        <v>7.3</v>
      </c>
      <c r="L694" t="str">
        <f t="shared" si="114"/>
        <v>Sufficient Sleep</v>
      </c>
      <c r="M694">
        <v>7</v>
      </c>
      <c r="N694" t="str">
        <f t="shared" si="115"/>
        <v>Sever</v>
      </c>
      <c r="O694" t="s">
        <v>20</v>
      </c>
      <c r="P694">
        <v>5</v>
      </c>
      <c r="Q694" t="str">
        <f t="shared" si="121"/>
        <v>Medium</v>
      </c>
    </row>
    <row r="695" spans="1:17" hidden="1" x14ac:dyDescent="0.3">
      <c r="A695">
        <v>695</v>
      </c>
      <c r="B695">
        <v>20</v>
      </c>
      <c r="C695" t="str">
        <f t="shared" si="112"/>
        <v>Young Adult</v>
      </c>
      <c r="D695" t="s">
        <v>13</v>
      </c>
      <c r="E695" t="s">
        <v>14</v>
      </c>
      <c r="F695" t="s">
        <v>109</v>
      </c>
      <c r="G695">
        <v>6.6</v>
      </c>
      <c r="H695" t="str">
        <f t="shared" si="113"/>
        <v>Heavy Use</v>
      </c>
      <c r="I695" t="s">
        <v>17</v>
      </c>
      <c r="J695" t="s">
        <v>18</v>
      </c>
      <c r="K695">
        <v>6.1</v>
      </c>
      <c r="L695" t="str">
        <f t="shared" si="114"/>
        <v>Severly Deficient Sleep</v>
      </c>
      <c r="M695">
        <v>5</v>
      </c>
      <c r="N695" t="str">
        <f t="shared" si="115"/>
        <v>Moderate</v>
      </c>
      <c r="O695" t="s">
        <v>28</v>
      </c>
      <c r="P695">
        <v>8</v>
      </c>
      <c r="Q695" t="str">
        <f t="shared" si="121"/>
        <v>High</v>
      </c>
    </row>
    <row r="696" spans="1:17" x14ac:dyDescent="0.3">
      <c r="A696">
        <v>696</v>
      </c>
      <c r="B696">
        <v>23</v>
      </c>
      <c r="C696" t="str">
        <f t="shared" si="112"/>
        <v>Young Adult</v>
      </c>
      <c r="D696" t="s">
        <v>21</v>
      </c>
      <c r="E696" t="s">
        <v>22</v>
      </c>
      <c r="F696" t="s">
        <v>29</v>
      </c>
      <c r="G696">
        <v>5.5</v>
      </c>
      <c r="H696" t="str">
        <f t="shared" si="113"/>
        <v>Moderate Use</v>
      </c>
      <c r="I696" t="s">
        <v>25</v>
      </c>
      <c r="J696" t="s">
        <v>18</v>
      </c>
      <c r="K696">
        <v>6.7</v>
      </c>
      <c r="L696" t="str">
        <f t="shared" si="114"/>
        <v>Severly Deficient Sleep</v>
      </c>
      <c r="M696">
        <v>6</v>
      </c>
      <c r="N696" t="str">
        <f t="shared" si="115"/>
        <v>Moderate</v>
      </c>
      <c r="O696" t="s">
        <v>20</v>
      </c>
      <c r="P696">
        <v>7</v>
      </c>
      <c r="Q696" t="str">
        <f>IF(P696&gt;=7,"High",IF(P696&gt;=6,"Medium","Low"))</f>
        <v>High</v>
      </c>
    </row>
    <row r="697" spans="1:17" hidden="1" x14ac:dyDescent="0.3">
      <c r="A697">
        <v>697</v>
      </c>
      <c r="B697">
        <v>21</v>
      </c>
      <c r="C697" t="str">
        <f t="shared" si="112"/>
        <v>Young Adult</v>
      </c>
      <c r="D697" t="s">
        <v>13</v>
      </c>
      <c r="E697" t="s">
        <v>14</v>
      </c>
      <c r="F697" t="s">
        <v>62</v>
      </c>
      <c r="G697">
        <v>6.3</v>
      </c>
      <c r="H697" t="str">
        <f t="shared" si="113"/>
        <v>Heavy Use</v>
      </c>
      <c r="I697" t="s">
        <v>31</v>
      </c>
      <c r="J697" t="s">
        <v>18</v>
      </c>
      <c r="K697">
        <v>6.2</v>
      </c>
      <c r="L697" t="str">
        <f t="shared" si="114"/>
        <v>Severly Deficient Sleep</v>
      </c>
      <c r="M697">
        <v>5</v>
      </c>
      <c r="N697" t="str">
        <f t="shared" si="115"/>
        <v>Moderate</v>
      </c>
      <c r="O697" t="s">
        <v>28</v>
      </c>
      <c r="P697">
        <v>8</v>
      </c>
      <c r="Q697" t="str">
        <f t="shared" si="121"/>
        <v>High</v>
      </c>
    </row>
    <row r="698" spans="1:17" x14ac:dyDescent="0.3">
      <c r="A698">
        <v>698</v>
      </c>
      <c r="B698">
        <v>24</v>
      </c>
      <c r="C698" t="str">
        <f t="shared" si="112"/>
        <v>Young Adult</v>
      </c>
      <c r="D698" t="s">
        <v>21</v>
      </c>
      <c r="E698" t="s">
        <v>22</v>
      </c>
      <c r="F698" t="s">
        <v>55</v>
      </c>
      <c r="G698">
        <v>4.8</v>
      </c>
      <c r="H698" t="str">
        <f t="shared" si="113"/>
        <v>Moderate Use</v>
      </c>
      <c r="I698" t="s">
        <v>41</v>
      </c>
      <c r="J698" t="s">
        <v>26</v>
      </c>
      <c r="K698">
        <v>7.1</v>
      </c>
      <c r="L698" t="str">
        <f t="shared" si="114"/>
        <v>Sufficient Sleep</v>
      </c>
      <c r="M698">
        <v>7</v>
      </c>
      <c r="N698" t="str">
        <f t="shared" si="115"/>
        <v>Sever</v>
      </c>
      <c r="O698" t="s">
        <v>20</v>
      </c>
      <c r="P698">
        <v>5</v>
      </c>
      <c r="Q698" t="str">
        <f t="shared" ref="Q698:Q699" si="122">IF(P698&gt;=7,"High",IF(P698&gt;=6,"Medium","Low"))</f>
        <v>Low</v>
      </c>
    </row>
    <row r="699" spans="1:17" x14ac:dyDescent="0.3">
      <c r="A699">
        <v>699</v>
      </c>
      <c r="B699">
        <v>19</v>
      </c>
      <c r="C699" t="str">
        <f t="shared" si="112"/>
        <v>Teenager</v>
      </c>
      <c r="D699" t="s">
        <v>13</v>
      </c>
      <c r="E699" t="s">
        <v>14</v>
      </c>
      <c r="F699" t="s">
        <v>39</v>
      </c>
      <c r="G699">
        <v>5.7</v>
      </c>
      <c r="H699" t="str">
        <f t="shared" si="113"/>
        <v>Moderate Use</v>
      </c>
      <c r="I699" t="s">
        <v>17</v>
      </c>
      <c r="J699" t="s">
        <v>18</v>
      </c>
      <c r="K699">
        <v>6.6</v>
      </c>
      <c r="L699" t="str">
        <f t="shared" si="114"/>
        <v>Severly Deficient Sleep</v>
      </c>
      <c r="M699">
        <v>6</v>
      </c>
      <c r="N699" t="str">
        <f t="shared" si="115"/>
        <v>Moderate</v>
      </c>
      <c r="O699" t="s">
        <v>28</v>
      </c>
      <c r="P699">
        <v>7</v>
      </c>
      <c r="Q699" t="str">
        <f t="shared" si="122"/>
        <v>High</v>
      </c>
    </row>
    <row r="700" spans="1:17" hidden="1" x14ac:dyDescent="0.3">
      <c r="A700">
        <v>700</v>
      </c>
      <c r="B700">
        <v>22</v>
      </c>
      <c r="C700" t="str">
        <f t="shared" si="112"/>
        <v>Young Adult</v>
      </c>
      <c r="D700" t="s">
        <v>21</v>
      </c>
      <c r="E700" t="s">
        <v>22</v>
      </c>
      <c r="F700" t="s">
        <v>35</v>
      </c>
      <c r="G700">
        <v>6.2</v>
      </c>
      <c r="H700" t="str">
        <f t="shared" si="113"/>
        <v>Heavy Use</v>
      </c>
      <c r="I700" t="s">
        <v>25</v>
      </c>
      <c r="J700" t="s">
        <v>18</v>
      </c>
      <c r="K700">
        <v>6.3</v>
      </c>
      <c r="L700" t="str">
        <f t="shared" si="114"/>
        <v>Severly Deficient Sleep</v>
      </c>
      <c r="M700">
        <v>5</v>
      </c>
      <c r="N700" t="str">
        <f t="shared" si="115"/>
        <v>Moderate</v>
      </c>
      <c r="O700" t="s">
        <v>28</v>
      </c>
      <c r="P700">
        <v>8</v>
      </c>
      <c r="Q700" t="str">
        <f t="shared" si="121"/>
        <v>High</v>
      </c>
    </row>
    <row r="701" spans="1:17" hidden="1" x14ac:dyDescent="0.3">
      <c r="A701">
        <v>701</v>
      </c>
      <c r="B701">
        <v>20</v>
      </c>
      <c r="C701" t="str">
        <f t="shared" si="112"/>
        <v>Young Adult</v>
      </c>
      <c r="D701" t="s">
        <v>13</v>
      </c>
      <c r="E701" t="s">
        <v>14</v>
      </c>
      <c r="F701" t="s">
        <v>60</v>
      </c>
      <c r="G701">
        <v>4.7</v>
      </c>
      <c r="H701" t="str">
        <f t="shared" si="113"/>
        <v>Moderate Use</v>
      </c>
      <c r="I701" t="s">
        <v>31</v>
      </c>
      <c r="J701" t="s">
        <v>26</v>
      </c>
      <c r="K701">
        <v>7.2</v>
      </c>
      <c r="L701" t="str">
        <f t="shared" si="114"/>
        <v>Sufficient Sleep</v>
      </c>
      <c r="M701">
        <v>7</v>
      </c>
      <c r="N701" t="str">
        <f t="shared" si="115"/>
        <v>Sever</v>
      </c>
      <c r="O701" t="s">
        <v>20</v>
      </c>
      <c r="P701">
        <v>5</v>
      </c>
      <c r="Q701" t="str">
        <f t="shared" si="121"/>
        <v>Medium</v>
      </c>
    </row>
    <row r="702" spans="1:17" hidden="1" x14ac:dyDescent="0.3">
      <c r="A702">
        <v>702</v>
      </c>
      <c r="B702">
        <v>23</v>
      </c>
      <c r="C702" t="str">
        <f t="shared" si="112"/>
        <v>Young Adult</v>
      </c>
      <c r="D702" t="s">
        <v>21</v>
      </c>
      <c r="E702" t="s">
        <v>22</v>
      </c>
      <c r="F702" t="s">
        <v>63</v>
      </c>
      <c r="G702">
        <v>6.8</v>
      </c>
      <c r="H702" t="str">
        <f t="shared" si="113"/>
        <v>Heavy Use</v>
      </c>
      <c r="I702" t="s">
        <v>17</v>
      </c>
      <c r="J702" t="s">
        <v>18</v>
      </c>
      <c r="K702">
        <v>5.9</v>
      </c>
      <c r="L702" t="str">
        <f t="shared" si="114"/>
        <v>Severly Deficient Sleep</v>
      </c>
      <c r="M702">
        <v>4</v>
      </c>
      <c r="N702" t="str">
        <f t="shared" si="115"/>
        <v>Mild</v>
      </c>
      <c r="O702" t="s">
        <v>28</v>
      </c>
      <c r="P702">
        <v>9</v>
      </c>
      <c r="Q702" t="str">
        <f t="shared" si="121"/>
        <v>High</v>
      </c>
    </row>
    <row r="703" spans="1:17" hidden="1" x14ac:dyDescent="0.3">
      <c r="A703">
        <v>703</v>
      </c>
      <c r="B703">
        <v>21</v>
      </c>
      <c r="C703" t="str">
        <f t="shared" si="112"/>
        <v>Young Adult</v>
      </c>
      <c r="D703" t="s">
        <v>13</v>
      </c>
      <c r="E703" t="s">
        <v>14</v>
      </c>
      <c r="F703" t="s">
        <v>66</v>
      </c>
      <c r="G703">
        <v>5.6</v>
      </c>
      <c r="H703" t="str">
        <f t="shared" si="113"/>
        <v>Moderate Use</v>
      </c>
      <c r="I703" t="s">
        <v>222</v>
      </c>
      <c r="J703" t="s">
        <v>18</v>
      </c>
      <c r="K703">
        <v>6.7</v>
      </c>
      <c r="L703" t="str">
        <f t="shared" si="114"/>
        <v>Severly Deficient Sleep</v>
      </c>
      <c r="M703">
        <v>6</v>
      </c>
      <c r="N703" t="str">
        <f t="shared" si="115"/>
        <v>Moderate</v>
      </c>
      <c r="O703" t="s">
        <v>20</v>
      </c>
      <c r="Q703">
        <v>7</v>
      </c>
    </row>
    <row r="704" spans="1:17" hidden="1" x14ac:dyDescent="0.3">
      <c r="A704">
        <v>704</v>
      </c>
      <c r="B704">
        <v>24</v>
      </c>
      <c r="C704" t="str">
        <f t="shared" si="112"/>
        <v>Young Adult</v>
      </c>
      <c r="D704" t="s">
        <v>21</v>
      </c>
      <c r="E704" t="s">
        <v>22</v>
      </c>
      <c r="F704" t="s">
        <v>51</v>
      </c>
      <c r="G704">
        <v>4.3</v>
      </c>
      <c r="H704" t="str">
        <f t="shared" si="113"/>
        <v>Moderate Use</v>
      </c>
      <c r="I704" t="s">
        <v>25</v>
      </c>
      <c r="J704" t="s">
        <v>26</v>
      </c>
      <c r="K704">
        <v>7.5</v>
      </c>
      <c r="L704" t="str">
        <f t="shared" si="114"/>
        <v>Sufficient Sleep</v>
      </c>
      <c r="M704">
        <v>8</v>
      </c>
      <c r="N704" t="str">
        <f t="shared" si="115"/>
        <v>Sever</v>
      </c>
      <c r="O704" t="s">
        <v>28</v>
      </c>
      <c r="P704">
        <v>4</v>
      </c>
      <c r="Q704" t="str">
        <f t="shared" ref="Q704:Q705" si="123">IF(P704&gt;=7,"High",IF(P704&gt;=5,"Medium","Low"))</f>
        <v>Low</v>
      </c>
    </row>
    <row r="705" spans="1:17" hidden="1" x14ac:dyDescent="0.3">
      <c r="A705">
        <v>705</v>
      </c>
      <c r="B705">
        <v>19</v>
      </c>
      <c r="C705" t="str">
        <f t="shared" ref="C705" si="124">IF(B705&gt;=20,"Young Adult","Teenager")</f>
        <v>Teenager</v>
      </c>
      <c r="D705" t="s">
        <v>13</v>
      </c>
      <c r="E705" t="s">
        <v>14</v>
      </c>
      <c r="F705" t="s">
        <v>145</v>
      </c>
      <c r="G705">
        <v>6.2</v>
      </c>
      <c r="H705" t="str">
        <f t="shared" ref="H705" si="125">IF(G705&gt;=6,"Heavy Use",IF(G705&gt;=4,"Moderate Use","Low Use"))</f>
        <v>Heavy Use</v>
      </c>
      <c r="I705" t="s">
        <v>41</v>
      </c>
      <c r="J705" t="s">
        <v>18</v>
      </c>
      <c r="K705">
        <v>6.3</v>
      </c>
      <c r="L705" t="str">
        <f t="shared" ref="L705" si="126">IF(K705&gt;=9,"Excessive Sleep",IF(K705&gt;=7,"Sufficient Sleep","Severly Deficient Sleep"))</f>
        <v>Severly Deficient Sleep</v>
      </c>
      <c r="M705">
        <v>5</v>
      </c>
      <c r="N705" t="str">
        <f t="shared" ref="N705" si="127">IF(M705&gt;=7,"Sever",IF(M705&lt;=4,"Mild","Moderate"))</f>
        <v>Moderate</v>
      </c>
      <c r="O705" t="s">
        <v>28</v>
      </c>
      <c r="P705">
        <v>8</v>
      </c>
      <c r="Q705" t="str">
        <f t="shared" si="123"/>
        <v>High</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326A2A-2E19-48A3-A259-1926FA1EC335}">
  <dimension ref="A1:I25"/>
  <sheetViews>
    <sheetView workbookViewId="0">
      <selection activeCell="A18" sqref="A18:E25"/>
    </sheetView>
  </sheetViews>
  <sheetFormatPr defaultRowHeight="14.4" x14ac:dyDescent="0.3"/>
  <cols>
    <col min="1" max="1" width="25.44140625" bestFit="1" customWidth="1"/>
    <col min="2" max="2" width="15.5546875" bestFit="1" customWidth="1"/>
    <col min="3" max="3" width="7" bestFit="1" customWidth="1"/>
    <col min="4" max="5" width="10.5546875" bestFit="1" customWidth="1"/>
    <col min="6" max="6" width="16.88671875" bestFit="1" customWidth="1"/>
    <col min="7" max="7" width="15.5546875" bestFit="1" customWidth="1"/>
    <col min="8" max="8" width="4" bestFit="1" customWidth="1"/>
    <col min="9" max="9" width="10.5546875" bestFit="1" customWidth="1"/>
    <col min="10" max="13" width="4" bestFit="1" customWidth="1"/>
    <col min="14" max="14" width="2" bestFit="1" customWidth="1"/>
    <col min="15" max="23" width="4" bestFit="1" customWidth="1"/>
    <col min="24" max="24" width="2" bestFit="1" customWidth="1"/>
    <col min="25" max="33" width="4" bestFit="1" customWidth="1"/>
    <col min="34" max="34" width="2" bestFit="1" customWidth="1"/>
    <col min="35" max="43" width="4" bestFit="1" customWidth="1"/>
    <col min="44" max="44" width="2" bestFit="1" customWidth="1"/>
    <col min="45" max="53" width="4" bestFit="1" customWidth="1"/>
    <col min="54" max="54" width="2" bestFit="1" customWidth="1"/>
    <col min="55" max="60" width="4" bestFit="1" customWidth="1"/>
    <col min="61" max="61" width="10.5546875" bestFit="1" customWidth="1"/>
  </cols>
  <sheetData>
    <row r="1" spans="1:9" x14ac:dyDescent="0.3">
      <c r="A1" s="2" t="s">
        <v>243</v>
      </c>
      <c r="B1" s="2" t="s">
        <v>242</v>
      </c>
      <c r="F1" s="2" t="s">
        <v>244</v>
      </c>
      <c r="G1" s="2" t="s">
        <v>242</v>
      </c>
    </row>
    <row r="2" spans="1:9" x14ac:dyDescent="0.3">
      <c r="A2" s="2" t="s">
        <v>237</v>
      </c>
      <c r="B2" t="s">
        <v>13</v>
      </c>
      <c r="C2" t="s">
        <v>21</v>
      </c>
      <c r="D2" t="s">
        <v>241</v>
      </c>
      <c r="F2" s="2" t="s">
        <v>237</v>
      </c>
      <c r="G2" t="s">
        <v>26</v>
      </c>
      <c r="H2" t="s">
        <v>18</v>
      </c>
      <c r="I2" t="s">
        <v>241</v>
      </c>
    </row>
    <row r="3" spans="1:9" x14ac:dyDescent="0.3">
      <c r="A3" s="3" t="s">
        <v>238</v>
      </c>
      <c r="B3" s="4">
        <v>1044.4000000000001</v>
      </c>
      <c r="C3" s="4">
        <v>1053.4999999999998</v>
      </c>
      <c r="D3" s="4">
        <v>2097.8999999999996</v>
      </c>
      <c r="F3" s="3" t="s">
        <v>41</v>
      </c>
      <c r="G3" s="4">
        <v>86</v>
      </c>
      <c r="H3" s="4">
        <v>37</v>
      </c>
      <c r="I3" s="4">
        <v>123</v>
      </c>
    </row>
    <row r="4" spans="1:9" x14ac:dyDescent="0.3">
      <c r="A4" s="3" t="s">
        <v>239</v>
      </c>
      <c r="B4" s="4">
        <v>189.6</v>
      </c>
      <c r="C4" s="4">
        <v>143.00000000000003</v>
      </c>
      <c r="D4" s="4">
        <v>332.6</v>
      </c>
      <c r="F4" s="3" t="s">
        <v>17</v>
      </c>
      <c r="G4" s="4">
        <v>77</v>
      </c>
      <c r="H4" s="4">
        <v>172</v>
      </c>
      <c r="I4" s="4">
        <v>249</v>
      </c>
    </row>
    <row r="5" spans="1:9" x14ac:dyDescent="0.3">
      <c r="A5" s="3" t="s">
        <v>240</v>
      </c>
      <c r="B5" s="4">
        <v>287.8</v>
      </c>
      <c r="C5" s="4">
        <v>289.10000000000002</v>
      </c>
      <c r="D5" s="4">
        <v>576.90000000000009</v>
      </c>
      <c r="F5" s="3" t="s">
        <v>31</v>
      </c>
      <c r="G5" s="4">
        <v>10</v>
      </c>
      <c r="H5" s="4">
        <v>144</v>
      </c>
      <c r="I5" s="4">
        <v>154</v>
      </c>
    </row>
    <row r="6" spans="1:9" x14ac:dyDescent="0.3">
      <c r="A6" s="3" t="s">
        <v>241</v>
      </c>
      <c r="B6" s="4">
        <v>1521.8</v>
      </c>
      <c r="C6" s="4">
        <v>1485.6</v>
      </c>
      <c r="D6" s="4">
        <v>3007.3999999999996</v>
      </c>
      <c r="F6" s="3" t="s">
        <v>25</v>
      </c>
      <c r="G6" s="4">
        <v>18</v>
      </c>
      <c r="H6" s="4">
        <v>11</v>
      </c>
      <c r="I6" s="4">
        <v>29</v>
      </c>
    </row>
    <row r="7" spans="1:9" x14ac:dyDescent="0.3">
      <c r="F7" s="3" t="s">
        <v>214</v>
      </c>
      <c r="G7" s="4"/>
      <c r="H7" s="4">
        <v>54</v>
      </c>
      <c r="I7" s="4">
        <v>54</v>
      </c>
    </row>
    <row r="8" spans="1:9" x14ac:dyDescent="0.3">
      <c r="A8" s="2" t="s">
        <v>237</v>
      </c>
      <c r="B8" t="s">
        <v>244</v>
      </c>
      <c r="F8" s="3" t="s">
        <v>37</v>
      </c>
      <c r="G8" s="4">
        <v>7</v>
      </c>
      <c r="H8" s="4">
        <v>3</v>
      </c>
      <c r="I8" s="4">
        <v>10</v>
      </c>
    </row>
    <row r="9" spans="1:9" x14ac:dyDescent="0.3">
      <c r="A9" s="3" t="s">
        <v>41</v>
      </c>
      <c r="B9" s="4">
        <v>123</v>
      </c>
      <c r="F9" s="3" t="s">
        <v>241</v>
      </c>
      <c r="G9" s="4">
        <v>198</v>
      </c>
      <c r="H9" s="4">
        <v>421</v>
      </c>
      <c r="I9" s="4">
        <v>619</v>
      </c>
    </row>
    <row r="10" spans="1:9" x14ac:dyDescent="0.3">
      <c r="A10" s="3" t="s">
        <v>17</v>
      </c>
      <c r="B10" s="4">
        <v>249</v>
      </c>
    </row>
    <row r="11" spans="1:9" x14ac:dyDescent="0.3">
      <c r="A11" s="3" t="s">
        <v>31</v>
      </c>
      <c r="B11" s="4">
        <v>154</v>
      </c>
    </row>
    <row r="12" spans="1:9" x14ac:dyDescent="0.3">
      <c r="A12" s="3" t="s">
        <v>25</v>
      </c>
      <c r="B12" s="4">
        <v>29</v>
      </c>
    </row>
    <row r="13" spans="1:9" x14ac:dyDescent="0.3">
      <c r="A13" s="3" t="s">
        <v>214</v>
      </c>
      <c r="B13" s="4">
        <v>54</v>
      </c>
    </row>
    <row r="14" spans="1:9" x14ac:dyDescent="0.3">
      <c r="A14" s="3" t="s">
        <v>37</v>
      </c>
      <c r="B14" s="4">
        <v>10</v>
      </c>
    </row>
    <row r="15" spans="1:9" x14ac:dyDescent="0.3">
      <c r="A15" s="3" t="s">
        <v>241</v>
      </c>
      <c r="B15" s="4">
        <v>619</v>
      </c>
    </row>
    <row r="18" spans="1:5" x14ac:dyDescent="0.3">
      <c r="A18" s="2" t="s">
        <v>244</v>
      </c>
      <c r="B18" s="2" t="s">
        <v>242</v>
      </c>
    </row>
    <row r="19" spans="1:5" x14ac:dyDescent="0.3">
      <c r="A19" s="2" t="s">
        <v>237</v>
      </c>
      <c r="B19" t="s">
        <v>245</v>
      </c>
      <c r="C19" t="s">
        <v>246</v>
      </c>
      <c r="D19" t="s">
        <v>247</v>
      </c>
      <c r="E19" t="s">
        <v>241</v>
      </c>
    </row>
    <row r="20" spans="1:5" x14ac:dyDescent="0.3">
      <c r="A20" s="3" t="s">
        <v>41</v>
      </c>
      <c r="B20" s="4">
        <v>6</v>
      </c>
      <c r="C20" s="4">
        <v>41</v>
      </c>
      <c r="D20" s="4">
        <v>76</v>
      </c>
      <c r="E20" s="4">
        <v>123</v>
      </c>
    </row>
    <row r="21" spans="1:5" x14ac:dyDescent="0.3">
      <c r="A21" s="3" t="s">
        <v>17</v>
      </c>
      <c r="B21" s="4">
        <v>10</v>
      </c>
      <c r="C21" s="4">
        <v>114</v>
      </c>
      <c r="D21" s="4">
        <v>125</v>
      </c>
      <c r="E21" s="4">
        <v>249</v>
      </c>
    </row>
    <row r="22" spans="1:5" x14ac:dyDescent="0.3">
      <c r="A22" s="3" t="s">
        <v>25</v>
      </c>
      <c r="B22" s="4"/>
      <c r="C22" s="4">
        <v>11</v>
      </c>
      <c r="D22" s="4">
        <v>18</v>
      </c>
      <c r="E22" s="4">
        <v>29</v>
      </c>
    </row>
    <row r="23" spans="1:5" x14ac:dyDescent="0.3">
      <c r="A23" s="3" t="s">
        <v>214</v>
      </c>
      <c r="B23" s="4"/>
      <c r="C23" s="4">
        <v>54</v>
      </c>
      <c r="D23" s="4"/>
      <c r="E23" s="4">
        <v>54</v>
      </c>
    </row>
    <row r="24" spans="1:5" x14ac:dyDescent="0.3">
      <c r="A24" s="3" t="s">
        <v>37</v>
      </c>
      <c r="B24" s="4"/>
      <c r="C24" s="4">
        <v>9</v>
      </c>
      <c r="D24" s="4">
        <v>1</v>
      </c>
      <c r="E24" s="4">
        <v>10</v>
      </c>
    </row>
    <row r="25" spans="1:5" x14ac:dyDescent="0.3">
      <c r="A25" s="3" t="s">
        <v>241</v>
      </c>
      <c r="B25" s="4">
        <v>16</v>
      </c>
      <c r="C25" s="4">
        <v>229</v>
      </c>
      <c r="D25" s="4">
        <v>220</v>
      </c>
      <c r="E25" s="4">
        <v>465</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8C0239-DEDD-4DB1-86F0-A7F936CD043A}">
  <dimension ref="A1:R3"/>
  <sheetViews>
    <sheetView tabSelected="1" zoomScale="105" workbookViewId="0">
      <selection activeCell="T7" sqref="T7"/>
    </sheetView>
  </sheetViews>
  <sheetFormatPr defaultRowHeight="14.4" x14ac:dyDescent="0.3"/>
  <cols>
    <col min="18" max="18" width="12" customWidth="1"/>
  </cols>
  <sheetData>
    <row r="1" spans="1:18" x14ac:dyDescent="0.3">
      <c r="A1" s="5" t="s">
        <v>248</v>
      </c>
      <c r="B1" s="6"/>
      <c r="C1" s="6"/>
      <c r="D1" s="6"/>
      <c r="E1" s="6"/>
      <c r="F1" s="6"/>
      <c r="G1" s="6"/>
      <c r="H1" s="6"/>
      <c r="I1" s="6"/>
      <c r="J1" s="6"/>
      <c r="K1" s="6"/>
      <c r="L1" s="6"/>
      <c r="M1" s="6"/>
      <c r="N1" s="6"/>
      <c r="O1" s="6"/>
      <c r="P1" s="6"/>
      <c r="Q1" s="6"/>
      <c r="R1" s="6"/>
    </row>
    <row r="2" spans="1:18" x14ac:dyDescent="0.3">
      <c r="A2" s="6"/>
      <c r="B2" s="6"/>
      <c r="C2" s="6"/>
      <c r="D2" s="6"/>
      <c r="E2" s="6"/>
      <c r="F2" s="6"/>
      <c r="G2" s="6"/>
      <c r="H2" s="6"/>
      <c r="I2" s="6"/>
      <c r="J2" s="6"/>
      <c r="K2" s="6"/>
      <c r="L2" s="6"/>
      <c r="M2" s="6"/>
      <c r="N2" s="6"/>
      <c r="O2" s="6"/>
      <c r="P2" s="6"/>
      <c r="Q2" s="6"/>
      <c r="R2" s="6"/>
    </row>
    <row r="3" spans="1:18" x14ac:dyDescent="0.3">
      <c r="A3" s="6"/>
      <c r="B3" s="6"/>
      <c r="C3" s="6"/>
      <c r="D3" s="6"/>
      <c r="E3" s="6"/>
      <c r="F3" s="6"/>
      <c r="G3" s="6"/>
      <c r="H3" s="6"/>
      <c r="I3" s="6"/>
      <c r="J3" s="6"/>
      <c r="K3" s="6"/>
      <c r="L3" s="6"/>
      <c r="M3" s="6"/>
      <c r="N3" s="6"/>
      <c r="O3" s="6"/>
      <c r="P3" s="6"/>
      <c r="Q3" s="6"/>
      <c r="R3" s="6"/>
    </row>
  </sheetData>
  <mergeCells count="1">
    <mergeCell ref="A1:R3"/>
  </mergeCells>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C4D4FE76-F76B-4379-BC9F-FB01A22AA1EA}">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Students Social Media Addiction</vt:lpstr>
      <vt:lpstr>Working Sheet</vt:lpstr>
      <vt:lpstr>Pivot Table</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Angela Happy</dc:creator>
  <cp:lastModifiedBy>Angela Happy</cp:lastModifiedBy>
  <dcterms:created xsi:type="dcterms:W3CDTF">2025-11-26T11:29:00Z</dcterms:created>
  <dcterms:modified xsi:type="dcterms:W3CDTF">2025-11-26T20:04:45Z</dcterms:modified>
</cp:coreProperties>
</file>